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示例" sheetId="6" r:id="rId1"/>
    <sheet name="员工" sheetId="7" r:id="rId2"/>
    <sheet name="客户" sheetId="1" r:id="rId3"/>
    <sheet name="销售订单" sheetId="3" r:id="rId4"/>
    <sheet name="收款单" sheetId="5" r:id="rId5"/>
    <sheet name="分析结果" sheetId="8" r:id="rId9"/>
  </sheets>
</workbook>
</file>

<file path=xl/sharedStrings.xml><?xml version="1.0" encoding="utf-8"?>
<sst xmlns="http://schemas.openxmlformats.org/spreadsheetml/2006/main" count="346" uniqueCount="167">
  <si>
    <t>OfficeAI 新手任务 ！
想要快速掌握 OfficeAI 强大表格处理功能，请从以下简单任务开始，尝试用提示词来完成不同难度的表格处理任务，如果遇到效果没达到预期的情况，请按以下思路进行调优
1、开启深度联动：开启右侧对话框底部【深度联动】功能，让大模型读取表格中的数据，才有更好的处理效果
2、更换大模型：不同大模型在处理文档和表格任务时，能力差异很大，建议切换不同模型进行尝试，切换模型后需要关闭文件后重新打开再用（以下为少量模型对比测试结果，仅供参考）
3、清空上下文：点击右侧面板右上角更多按钮，点击【清空聊天记录】或清空后关闭表格重新打开，避免上下文干扰
4、更换提示词：尽可能表述清晰明确，让大模型更容易理解你的意图</t>
  </si>
  <si>
    <t>任务难度</t>
  </si>
  <si>
    <t>序号</t>
  </si>
  <si>
    <t>操作步骤</t>
  </si>
  <si>
    <t>提示词</t>
  </si>
  <si>
    <t>跳转操作</t>
  </si>
  <si>
    <t>DeepSeek</t>
  </si>
  <si>
    <t>海外模型</t>
  </si>
  <si>
    <t>Qwen2.5
72B-intruct</t>
  </si>
  <si>
    <t>Qwen3
32B</t>
  </si>
  <si>
    <t>Qwen3
30B</t>
  </si>
  <si>
    <t>Qwen3
235B-A22B</t>
  </si>
  <si>
    <t>DeepSeek R1
32B</t>
  </si>
  <si>
    <t>DeepSeek R1
671B</t>
  </si>
  <si>
    <t>DeepSeek V3
0324</t>
  </si>
  <si>
    <t>GTP4
o1</t>
  </si>
  <si>
    <t>Gemini 2.5
Pro</t>
  </si>
  <si>
    <t>Gemma3
27B</t>
  </si>
  <si>
    <t>简单任务</t>
  </si>
  <si>
    <t>复杂数据拆分</t>
  </si>
  <si>
    <t>请将员工表中的B列员工信息中的姓名、电话号码拆分成两列，分别填入CD列中</t>
  </si>
  <si>
    <t>点击跳转</t>
  </si>
  <si>
    <t>✔</t>
  </si>
  <si>
    <t>❌</t>
  </si>
  <si>
    <t>身份证号提取生日并计算年龄</t>
  </si>
  <si>
    <t>请将员工表中身份证号中的出生年月日提取到生日列的对应位置，年/月/日用“/”隔开，根据员工表中生日列数据计算出年龄，填入年龄列</t>
  </si>
  <si>
    <t>身份证号脱敏</t>
  </si>
  <si>
    <t>请将'员工'表中的F列'身份证号'的出生年月日变为' *'</t>
  </si>
  <si>
    <t>高亮特定数值范围</t>
  </si>
  <si>
    <t>在员工表中，将薪资列中薪资低于10000的标记为红色</t>
  </si>
  <si>
    <t>表格样式调整</t>
  </si>
  <si>
    <t>为员工表和客户表的表头添加浅灰色背景，为有内容的区域统一添加边框，调整员工表中的列宽以适配内容，调整行高为20</t>
  </si>
  <si>
    <t>进阶任务</t>
  </si>
  <si>
    <t>条件判断归类</t>
  </si>
  <si>
    <t>在员工表中判断薪资列数值小于10000时职级为初级，薪资大于等于10000时职级为中级，将每条数据判断结果填入职级列</t>
  </si>
  <si>
    <t>生成示例数据</t>
  </si>
  <si>
    <t>为销售订单表新增5行新的示例数据。从第8列开始在每列填入数据，要求合同id递增。</t>
  </si>
  <si>
    <t>批量添加数据</t>
  </si>
  <si>
    <t>分别在销售订单、收款单两张表新增客户名称列，根据客户ID、合同ID查询并填入相关联的客户名称数据</t>
  </si>
  <si>
    <t>批量修改数据</t>
  </si>
  <si>
    <t>把所有表格中的姓名“钱多多”都改为“老钱”</t>
  </si>
  <si>
    <t>批量清洗数据</t>
  </si>
  <si>
    <t>在客户表增加新的“省/市”字段列，将详细地址中的“省市”信息提取出来填入“省/市”字段列，只需要填充有详细地址数据的行</t>
  </si>
  <si>
    <t>复杂任务</t>
  </si>
  <si>
    <t>员工销售业绩汇总</t>
  </si>
  <si>
    <t>在员工表中，根据姓名，汇总关联的销售订单表中的合同金额，填入员工表中的业绩完成额L列</t>
  </si>
  <si>
    <t>阶梯佣金计算（依赖任务11）</t>
  </si>
  <si>
    <t>在员工表中，先用业绩完成额除以业绩目标计算出业绩完成率并填入业绩完成率M列，再按以下规则计算销售佣金，当业绩完成率大于等于100%时用业绩完成额乘以10%，业绩完成率小于100%则用业绩完成额乘以5%，将佣金计算结果填入员工表的销售佣金列</t>
  </si>
  <si>
    <t>关联表汇总统计</t>
  </si>
  <si>
    <t>在客户表中添加累计合同金额、累计收款金额、累计应收账款三列，在关联表中汇总并填入数据</t>
  </si>
  <si>
    <t>统计并生成图表</t>
  </si>
  <si>
    <t>统计分析每月合同金额、每月收款金额数据，生成柱状图；按销售区域统计合同金额，生成饼状图</t>
  </si>
  <si>
    <t>员工ID</t>
  </si>
  <si>
    <t>员工信息</t>
  </si>
  <si>
    <t>姓名</t>
  </si>
  <si>
    <t>电话</t>
  </si>
  <si>
    <t>地址</t>
  </si>
  <si>
    <t>身份证号</t>
  </si>
  <si>
    <t>生日</t>
  </si>
  <si>
    <t>年龄</t>
  </si>
  <si>
    <t>薪资</t>
  </si>
  <si>
    <t>职级</t>
  </si>
  <si>
    <t>业绩目标</t>
  </si>
  <si>
    <t>业绩完成额</t>
  </si>
  <si>
    <t>业绩完成率</t>
  </si>
  <si>
    <t>销售佣金</t>
  </si>
  <si>
    <t>E001</t>
  </si>
  <si>
    <t>张三 13812345678 北京市朝阳区建国路88号</t>
  </si>
  <si>
    <t>510107198908097000</t>
  </si>
  <si>
    <t>E002</t>
  </si>
  <si>
    <t>李四 15987654321 上海市浦东新区张江高科技园区</t>
  </si>
  <si>
    <t>310115198502143032</t>
  </si>
  <si>
    <t>E003</t>
  </si>
  <si>
    <t>王五 18611112222 广州市天河区体育西路28号</t>
  </si>
  <si>
    <t>440106199111224080</t>
  </si>
  <si>
    <t>E004</t>
  </si>
  <si>
    <t>钱多多 13555556666 深圳市南山区科技园路1号</t>
  </si>
  <si>
    <t>510107198908097020</t>
  </si>
  <si>
    <t>E005</t>
  </si>
  <si>
    <t>赵高 19988876543 四川省成都市科华北路23号</t>
  </si>
  <si>
    <t>330102197612123001</t>
  </si>
  <si>
    <t>E006</t>
  </si>
  <si>
    <t>孙海洋 19988876543 四川省成都市科华北路23号</t>
  </si>
  <si>
    <t>340107198908090132</t>
  </si>
  <si>
    <t>客户ID</t>
  </si>
  <si>
    <t>客户名称</t>
  </si>
  <si>
    <t>销售区域</t>
  </si>
  <si>
    <t>详细地址</t>
  </si>
  <si>
    <t>累计合同金额</t>
  </si>
  <si>
    <t>累计收款金额</t>
  </si>
  <si>
    <t>累计应收账款</t>
  </si>
  <si>
    <t>C001</t>
  </si>
  <si>
    <t>华东科技</t>
  </si>
  <si>
    <t>东部</t>
  </si>
  <si>
    <t>上海市浦东新区张江高科技园区科苑路88号</t>
  </si>
  <si>
    <t>C002</t>
  </si>
  <si>
    <t>北方贸易</t>
  </si>
  <si>
    <t>北部</t>
  </si>
  <si>
    <t>北京市朝阳区建国路93号万达广场A座</t>
  </si>
  <si>
    <t>C003</t>
  </si>
  <si>
    <t>华南制造</t>
  </si>
  <si>
    <t>南部</t>
  </si>
  <si>
    <t>广州市天河区珠江新城金穗路68号</t>
  </si>
  <si>
    <t>C004</t>
  </si>
  <si>
    <t>西部资源</t>
  </si>
  <si>
    <t>西部</t>
  </si>
  <si>
    <t>成都市武侯区人民南路四段12号</t>
  </si>
  <si>
    <t>C005</t>
  </si>
  <si>
    <t>中部物流</t>
  </si>
  <si>
    <t>中部</t>
  </si>
  <si>
    <t>武汉市洪山区珞瑜路1037号</t>
  </si>
  <si>
    <t>C006</t>
  </si>
  <si>
    <t>东南电子</t>
  </si>
  <si>
    <t>杭州市余杭区文一西路969号</t>
  </si>
  <si>
    <t>C007</t>
  </si>
  <si>
    <t>东方电子</t>
  </si>
  <si>
    <t>苏州市工业园区星湖街328号</t>
  </si>
  <si>
    <t>C008</t>
  </si>
  <si>
    <t>西南机械</t>
  </si>
  <si>
    <t>重庆市渝北区黄山大道中段6号</t>
  </si>
  <si>
    <t>C009</t>
  </si>
  <si>
    <t>中原化工</t>
  </si>
  <si>
    <t>郑州市金水区花园路85号</t>
  </si>
  <si>
    <t>C010</t>
  </si>
  <si>
    <t>东北钢铁</t>
  </si>
  <si>
    <t>沈阳市和平区南京北街78号</t>
  </si>
  <si>
    <t>C011</t>
  </si>
  <si>
    <t>华南制药</t>
  </si>
  <si>
    <t>深圳市南山区科技园南区科苑路15号</t>
  </si>
  <si>
    <t>合同ID</t>
  </si>
  <si>
    <t>签订日期</t>
  </si>
  <si>
    <t>合同金额</t>
  </si>
  <si>
    <t>交货日期</t>
  </si>
  <si>
    <t>订单状态</t>
  </si>
  <si>
    <t>SO001</t>
  </si>
  <si>
    <t>已完成</t>
  </si>
  <si>
    <t>张三</t>
  </si>
  <si>
    <t>SO002</t>
  </si>
  <si>
    <t>李四</t>
  </si>
  <si>
    <t>SO003</t>
  </si>
  <si>
    <t>执行中</t>
  </si>
  <si>
    <t>王五</t>
  </si>
  <si>
    <t>SO004</t>
  </si>
  <si>
    <t>待发货</t>
  </si>
  <si>
    <t>钱多多</t>
  </si>
  <si>
    <t>SO005</t>
  </si>
  <si>
    <t>赵高</t>
  </si>
  <si>
    <t>SO006</t>
  </si>
  <si>
    <t>新订单</t>
  </si>
  <si>
    <t>收款单号</t>
  </si>
  <si>
    <t>收款日期</t>
  </si>
  <si>
    <t>收款金额</t>
  </si>
  <si>
    <t>付款账号</t>
  </si>
  <si>
    <t>收款方式</t>
  </si>
  <si>
    <t>PM001</t>
  </si>
  <si>
    <t>622588******1234</t>
  </si>
  <si>
    <t>银行转账</t>
  </si>
  <si>
    <t>PM002</t>
  </si>
  <si>
    <t>622848******5678</t>
  </si>
  <si>
    <t>电汇</t>
  </si>
  <si>
    <t>PM003</t>
  </si>
  <si>
    <t>PM004</t>
  </si>
  <si>
    <t>955998******3344</t>
  </si>
  <si>
    <t>信用证</t>
  </si>
  <si>
    <t>PM005</t>
  </si>
  <si>
    <t>622262******7890</t>
  </si>
  <si>
    <t>PM006</t>
  </si>
</sst>
</file>

<file path=xl/styles.xml><?xml version="1.0" encoding="utf-8"?>
<styleSheet xmlns="http://schemas.openxmlformats.org/spreadsheetml/2006/main">
  <fonts count="32"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rgb="FF4A58FA"/>
      <name val="等线"/>
      <charset val="134"/>
      <scheme val="minor"/>
    </font>
    <font>
      <sz val="11"/>
      <name val="宋体"/>
      <charset val="134"/>
    </font>
    <font>
      <sz val="11"/>
      <name val="微软雅黑"/>
      <charset val="134"/>
      <b/>
    </font>
    <font>
      <sz val="11"/>
      <name val="微软雅黑"/>
      <charset val="134"/>
    </font>
    <font>
      <sz val="11"/>
      <color rgb="FF000000"/>
      <name val="微软雅黑"/>
      <charset val="134"/>
      <b/>
    </font>
    <font>
      <sz val="11"/>
      <color rgb="FF4A58FA"/>
      <name val="等线"/>
      <charset val="134"/>
      <scheme val="minor"/>
      <u/>
    </font>
    <font>
      <sz val="11"/>
      <color rgb="FF00B050"/>
      <name val="Segoe UI Symbol"/>
      <charset val="134"/>
      <b/>
    </font>
    <font>
      <sz val="11"/>
      <color rgb="FFFF0000"/>
      <name val="Segoe UI Symbol"/>
      <charset val="134"/>
      <b/>
    </font>
    <font>
      <sz val="11"/>
      <color rgb="FF000000"/>
      <name val="微软雅黑"/>
      <charset val="134"/>
    </font>
    <font>
      <sz val="11"/>
      <color rgb="FF00B050"/>
      <name val="宋体-简"/>
      <charset val="134"/>
      <b/>
    </font>
    <font>
      <sz val="11"/>
      <name val="等线"/>
      <charset val="0"/>
      <scheme val="minor"/>
    </font>
    <font>
      <sz val="1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00FF"/>
      <name val="等线"/>
      <charset val="0"/>
      <scheme val="minor"/>
      <u/>
    </font>
    <font>
      <sz val="11"/>
      <color rgb="FFFA7D00"/>
      <name val="等线"/>
      <charset val="0"/>
      <scheme val="minor"/>
    </font>
    <font>
      <sz val="11"/>
      <color rgb="FF800080"/>
      <name val="等线"/>
      <charset val="0"/>
      <scheme val="minor"/>
      <u/>
    </font>
    <font>
      <sz val="11"/>
      <color rgb="FF0E2841"/>
      <name val="等线"/>
      <charset val="134"/>
      <scheme val="minor"/>
      <b/>
    </font>
    <font>
      <sz val="11"/>
      <color rgb="FFFF0000"/>
      <name val="等线"/>
      <charset val="0"/>
      <scheme val="minor"/>
    </font>
    <font>
      <sz val="18"/>
      <color rgb="FF0E2841"/>
      <name val="等线"/>
      <charset val="134"/>
      <scheme val="minor"/>
      <b/>
    </font>
    <font>
      <sz val="11"/>
      <color rgb="FF7F7F7F"/>
      <name val="等线"/>
      <charset val="0"/>
      <scheme val="minor"/>
      <i/>
    </font>
    <font>
      <sz val="15"/>
      <color rgb="FF0E2841"/>
      <name val="等线"/>
      <charset val="134"/>
      <scheme val="minor"/>
      <b/>
    </font>
    <font>
      <sz val="13"/>
      <color rgb="FF0E2841"/>
      <name val="等线"/>
      <charset val="134"/>
      <scheme val="minor"/>
      <b/>
    </font>
    <font>
      <sz val="11"/>
      <color rgb="FF006100"/>
      <name val="等线"/>
      <charset val="0"/>
      <scheme val="minor"/>
    </font>
    <font>
      <sz val="11"/>
      <color rgb="FF3F3F3F"/>
      <name val="等线"/>
      <charset val="0"/>
      <scheme val="minor"/>
      <b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  <b/>
    </font>
    <font>
      <sz val="11"/>
      <color rgb="FFFFFFFF"/>
      <name val="等线"/>
      <charset val="0"/>
      <scheme val="minor"/>
      <b/>
    </font>
    <font>
      <sz val="11"/>
      <name val="等线"/>
      <charset val="0"/>
      <scheme val="minor"/>
      <b/>
    </font>
    <font>
      <sz val="11"/>
      <name val="等线"/>
      <charset val="134"/>
      <scheme val="minor"/>
      <b/>
    </font>
  </fonts>
  <fills count="36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5A67C"/>
        <bgColor rgb="FF000000"/>
      </patternFill>
    </fill>
    <fill>
      <patternFill patternType="solid">
        <fgColor rgb="FFD1E1D3"/>
        <bgColor rgb="FF000000"/>
      </patternFill>
    </fill>
    <fill>
      <patternFill patternType="solid">
        <fgColor rgb="FFA3C4A7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A1BFCD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FBE3D6"/>
        <bgColor rgb="FF000000"/>
      </patternFill>
    </fill>
    <fill>
      <patternFill patternType="solid">
        <fgColor rgb="FFF2AA84"/>
        <bgColor rgb="FF000000"/>
      </patternFill>
    </fill>
    <fill>
      <patternFill patternType="solid">
        <fgColor rgb="FFC680BE"/>
        <bgColor rgb="FF000000"/>
      </patternFill>
    </fill>
    <fill>
      <patternFill patternType="solid">
        <fgColor rgb="FFCFECF7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73A0B4"/>
        <bgColor rgb="FF000000"/>
      </patternFill>
    </fill>
    <fill>
      <patternFill patternType="solid">
        <fgColor rgb="FF6FC5E6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D9AAD4"/>
        <bgColor rgb="FF000000"/>
      </patternFill>
    </fill>
    <fill>
      <patternFill patternType="solid">
        <fgColor rgb="FFDCEDD5"/>
        <bgColor rgb="FF000000"/>
      </patternFill>
    </fill>
    <fill>
      <patternFill patternType="solid">
        <fgColor rgb="FFECD5E9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FE6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B8DCAB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9FD8EE"/>
        <bgColor rgb="FF000000"/>
      </patternFill>
    </fill>
    <fill>
      <patternFill patternType="solid">
        <fgColor rgb="FFF6C6AD"/>
        <bgColor rgb="FF000000"/>
      </patternFill>
    </fill>
    <fill>
      <patternFill patternType="solid">
        <fgColor rgb="FF95CA8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156082"/>
      </bottom>
      <diagonal/>
    </border>
    <border>
      <left/>
      <right/>
      <top/>
      <bottom style="medium">
        <color rgb="FF8AAF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156082"/>
      </top>
      <bottom style="double">
        <color rgb="FF156082"/>
      </bottom>
      <diagonal/>
    </border>
  </borders>
  <cellStyleXfs count="1">
    <xf numFmtId="0" fontId="0" fillId="0" borderId="0"/>
  </cellStyleXfs>
  <cellXfs count="45">
    <xf numFmtId="0" fontId="0" fillId="0" borderId="0" xfId="0">
      <alignment vertical="center"/>
    </xf>
    <xf numFmtId="0" fontId="1" fillId="2" borderId="0" xfId="49" applyFill="1" applyAlignment="1">
      <alignment vertical="center"/>
    </xf>
    <xf numFmtId="0" fontId="1" fillId="0" borderId="0" xfId="49" applyAlignment="1">
      <alignment vertical="center"/>
    </xf>
    <xf numFmtId="14" fontId="1" fillId="0" borderId="0" xfId="49" applyNumberFormat="1" applyAlignment="1">
      <alignment vertical="center"/>
    </xf>
    <xf numFmtId="0" fontId="1" fillId="3" borderId="0" xfId="49" applyFill="1" applyAlignment="1">
      <alignment vertical="center"/>
    </xf>
    <xf numFmtId="3" fontId="1" fillId="0" borderId="0" xfId="49" applyNumberFormat="1" applyAlignment="1">
      <alignment vertical="center"/>
    </xf>
    <xf numFmtId="0" fontId="1" fillId="3" borderId="0" xfId="49" applyFill="1" applyAlignment="1">
      <alignment horizontal="left" vertical="center"/>
    </xf>
    <xf numFmtId="4" fontId="1" fillId="0" borderId="0" xfId="49" applyNumberFormat="1" applyAlignment="1">
      <alignment horizontal="center" vertical="center"/>
    </xf>
    <xf numFmtId="3" fontId="1" fillId="0" borderId="0" xfId="49" applyNumberFormat="1" applyAlignment="1">
      <alignment horizontal="left" vertical="center"/>
    </xf>
    <xf numFmtId="49" fontId="1" fillId="0" borderId="0" xfId="49" applyNumberFormat="1" applyAlignment="1">
      <alignment vertical="center"/>
    </xf>
    <xf numFmtId="0" fontId="2" fillId="0" borderId="0" xfId="49" applyFont="1" applyAlignment="1">
      <alignment vertical="center"/>
    </xf>
    <xf numFmtId="49" fontId="2" fillId="0" borderId="0" xfId="49" applyNumberFormat="1" applyFont="1" applyAlignment="1">
      <alignment vertical="center"/>
    </xf>
    <xf numFmtId="0" fontId="3" fillId="0" borderId="0" xfId="49" applyFont="1" applyAlignment="1">
      <alignment vertical="center"/>
    </xf>
    <xf numFmtId="0" fontId="1" fillId="0" borderId="0" xfId="49" applyAlignment="1">
      <alignment horizontal="left" vertical="center"/>
    </xf>
    <xf numFmtId="9" fontId="1" fillId="0" borderId="0" xfId="49" applyNumberFormat="1" applyAlignment="1">
      <alignment vertical="center"/>
    </xf>
    <xf numFmtId="0" fontId="4" fillId="3" borderId="1" xfId="49" applyFont="1" applyFill="1" applyBorder="1" applyAlignment="1">
      <alignment horizontal="left" vertical="center" wrapText="1"/>
    </xf>
    <xf numFmtId="0" fontId="5" fillId="3" borderId="1" xfId="49" applyFont="1" applyFill="1" applyBorder="1" applyAlignment="1">
      <alignment horizontal="left" vertical="center"/>
    </xf>
    <xf numFmtId="0" fontId="4" fillId="3" borderId="2" xfId="49" applyFont="1" applyFill="1" applyBorder="1" applyAlignment="1">
      <alignment horizontal="center" vertical="center"/>
    </xf>
    <xf numFmtId="0" fontId="6" fillId="3" borderId="2" xfId="49" applyFont="1" applyFill="1" applyBorder="1" applyAlignment="1">
      <alignment horizontal="center" vertical="center" wrapText="1"/>
    </xf>
    <xf numFmtId="0" fontId="6" fillId="3" borderId="2" xfId="49" applyFont="1" applyFill="1" applyBorder="1" applyAlignment="1">
      <alignment horizontal="center" vertical="center"/>
    </xf>
    <xf numFmtId="0" fontId="4" fillId="3" borderId="3" xfId="49" applyFont="1" applyFill="1" applyBorder="1" applyAlignment="1">
      <alignment horizontal="center" vertical="center" wrapText="1"/>
    </xf>
    <xf numFmtId="0" fontId="4" fillId="3" borderId="4" xfId="49" applyFont="1" applyFill="1" applyBorder="1" applyAlignment="1">
      <alignment horizontal="center" vertical="center"/>
    </xf>
    <xf numFmtId="0" fontId="6" fillId="3" borderId="4" xfId="49" applyFont="1" applyFill="1" applyBorder="1" applyAlignment="1">
      <alignment horizontal="center" vertical="center" wrapText="1"/>
    </xf>
    <xf numFmtId="0" fontId="6" fillId="3" borderId="4" xfId="49" applyFont="1" applyFill="1" applyBorder="1" applyAlignment="1">
      <alignment horizontal="center" vertical="center"/>
    </xf>
    <xf numFmtId="0" fontId="4" fillId="3" borderId="5" xfId="49" applyFont="1" applyFill="1" applyBorder="1" applyAlignment="1">
      <alignment horizontal="center" vertical="center" wrapText="1"/>
    </xf>
    <xf numFmtId="0" fontId="4" fillId="3" borderId="5" xfId="49" applyFont="1" applyFill="1" applyBorder="1" applyAlignment="1">
      <alignment horizontal="center" vertical="center"/>
    </xf>
    <xf numFmtId="0" fontId="5" fillId="3" borderId="5" xfId="49" applyFont="1" applyFill="1" applyBorder="1" applyAlignment="1">
      <alignment horizontal="left" vertical="center" wrapText="1"/>
    </xf>
    <xf numFmtId="0" fontId="7" fillId="3" borderId="5" xfId="49" applyFont="1" applyFill="1" applyBorder="1" applyAlignment="1">
      <alignment horizontal="center" vertical="center"/>
    </xf>
    <xf numFmtId="0" fontId="8" fillId="3" borderId="5" xfId="49" applyFont="1" applyFill="1" applyBorder="1" applyAlignment="1">
      <alignment horizontal="center" vertical="center" wrapText="1"/>
    </xf>
    <xf numFmtId="0" fontId="4" fillId="3" borderId="6" xfId="49" applyFont="1" applyFill="1" applyBorder="1" applyAlignment="1">
      <alignment horizontal="center" vertical="center"/>
    </xf>
    <xf numFmtId="0" fontId="9" fillId="3" borderId="5" xfId="49" applyFont="1" applyFill="1" applyBorder="1" applyAlignment="1">
      <alignment horizontal="center" vertical="center" wrapText="1"/>
    </xf>
    <xf numFmtId="0" fontId="10" fillId="3" borderId="5" xfId="49" applyFont="1" applyFill="1" applyBorder="1" applyAlignment="1">
      <alignment horizontal="left" vertical="center" wrapText="1"/>
    </xf>
    <xf numFmtId="0" fontId="4" fillId="3" borderId="7" xfId="49" applyFont="1" applyFill="1" applyBorder="1" applyAlignment="1">
      <alignment horizontal="center" vertical="center" wrapText="1"/>
    </xf>
    <xf numFmtId="0" fontId="11" fillId="3" borderId="5" xfId="49" applyFont="1" applyFill="1" applyBorder="1" applyAlignment="1">
      <alignment horizontal="center" vertical="center" wrapText="1"/>
    </xf>
    <xf numFmtId="0" fontId="1" fillId="0" borderId="5" xfId="49" applyBorder="1" applyAlignment="1">
      <alignment vertical="center"/>
    </xf>
    <xf numFmtId="49" fontId="1" fillId="0" borderId="5" xfId="49" applyNumberFormat="1" applyBorder="1" applyAlignment="1">
      <alignment vertical="center"/>
    </xf>
    <xf numFmtId="0" fontId="1" fillId="0" borderId="5" xfId="49" applyBorder="1" applyAlignment="1">
      <alignment horizontal="left" vertical="center"/>
    </xf>
    <xf numFmtId="0" fontId="0" fillId="0" borderId="5" xfId="0" applyBorder="1">
      <alignment vertical="center"/>
    </xf>
    <xf numFmtId="49" fontId="2" fillId="0" borderId="5" xfId="49" applyNumberFormat="1" applyFont="1" applyBorder="1" applyAlignment="1">
      <alignment vertical="center"/>
    </xf>
    <xf numFmtId="0" fontId="3" fillId="0" borderId="5" xfId="49" applyFont="1" applyBorder="1" applyAlignment="1">
      <alignment vertical="center"/>
    </xf>
    <xf numFmtId="14" fontId="1" fillId="0" borderId="5" xfId="49" applyNumberFormat="1" applyBorder="1" applyAlignment="1">
      <alignment vertical="center"/>
    </xf>
    <xf numFmtId="0" fontId="31" fillId="0" borderId="5" xfId="49" applyFont="1" applyBorder="1" applyAlignment="1">
      <alignment vertical="center"/>
    </xf>
    <xf numFmtId="49" fontId="31" fillId="0" borderId="5" xfId="49" applyNumberFormat="1" applyFont="1" applyBorder="1" applyAlignment="1">
      <alignment vertical="center"/>
    </xf>
    <xf numFmtId="0" fontId="31" fillId="0" borderId="5" xfId="49" applyFont="1" applyBorder="1" applyAlignment="1">
      <alignment horizontal="left" vertical="center"/>
    </xf>
    <xf numFmtId="0" fontId="1" fillId="35" borderId="5" xfId="49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t>每月合同金额与收款金额对比</a:t>
            </a:r>
          </a:p>
        </c:rich>
      </c:tx>
      <c:layout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月度统计数据</c:v>
          </c:tx>
          <c:cat>
            <c:strRef>
              <c:f>分析结果!$A$2:$A$6</c:f>
            </c:strRef>
          </c:cat>
          <c:val>
            <c:numRef>
              <c:f>分析结果!$B$2:$B$6</c:f>
            </c:numRef>
          </c:val>
        </c:ser>
        <c:ser>
          <c:idx val="1"/>
          <c:order val="1"/>
          <c:tx>
            <c:v>收款金额</c:v>
          </c:tx>
          <c:cat>
            <c:strRef>
              <c:f>分析结果!$A$2:$A$6</c:f>
            </c:strRef>
          </c:cat>
          <c:val>
            <c:numRef>
              <c:f>分析结果!$C$2:$C$6</c:f>
            </c:numRef>
          </c:val>
        </c:ser>
        <c:axId val="12345678"/>
        <c:axId val="12345679"/>
      </c:barChart>
      <c:catAx>
        <c:axId val="12345678"/>
        <c:scaling>
          <c:orientation val="minMax"/>
        </c:scaling>
        <c:axPos val="b"/>
        <c:tickLblPos val="nextTo"/>
        <c:crossAx val="12345679"/>
        <c:crosses val="autoZero"/>
        <c:auto val="1"/>
        <c:lblAlgn val="ctr"/>
        <c:lblOffset val="100"/>
      </c:catAx>
      <c:valAx>
        <c:axId val="12345679"/>
        <c:scaling>
          <c:orientation val="minMax"/>
        </c:scaling>
        <c:axPos val="l"/>
        <c:majorGridlines/>
        <c:numFmt formatCode="General" sourceLinked="1"/>
        <c:tickLblPos val="nextTo"/>
        <c:crossAx val="1234567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t>各销售区域合同金额占比</a:t>
            </a:r>
          </a:p>
        </c:rich>
      </c:tx>
      <c:layout/>
    </c:title>
    <c:autoTitleDeleted val="0"/>
    <c:plotArea>
      <c:layout/>
      <c:pieChart>
        <c:varyColors val="1"/>
        <c:ser>
          <c:idx val="0"/>
          <c:order val="0"/>
          <c:tx>
            <c:v>合同金额</c:v>
          </c:tx>
          <c:cat>
            <c:strRef>
              <c:f>分析结果!$A$11:$A$16</c:f>
            </c:strRef>
          </c:cat>
          <c:val>
            <c:numRef>
              <c:f>分析结果!$B$11:$B$16</c:f>
            </c:numRef>
          </c:val>
        </c:ser>
      </c:pieChart>
    </c:plotArea>
    <c:legend>
      <c:legendPos val="r"/>
      <c:layout/>
    </c:legend>
    <c:plotVisOnly val="1"/>
  </c:chart>
  <c:printSettings>
    <c:headerFooter/>
    <c:pageMargins l="0.7" r="0.7" t="0.75" b="0.75" header="0.3" footer="0.3"/>
    <c:pageSetup/>
  </c:printSettings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2" name="每月合同金额与收款金额对比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4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3" name="各销售区域合同金额占比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6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 tabSelected="1" zoomScale="81" zoomScaleNormal="81">
      <selection activeCell="G8" sqref="G8"/>
    </sheetView>
  </sheetViews>
  <cols>
    <col min="1" max="1" width="22.7333333333333" customWidth="1"/>
    <col min="2" max="2" width="13.1666666666667" customWidth="1"/>
    <col min="3" max="3" width="6.58333333333333" customWidth="1"/>
    <col min="4" max="4" width="17.8333333333333" customWidth="1"/>
    <col min="5" max="5" width="50.25" customWidth="1"/>
    <col min="6" max="9" width="12.5833333333333" customWidth="1"/>
    <col min="10" max="16" width="14.1666666666667" customWidth="1"/>
  </cols>
  <sheetData>
    <row r="1" ht="111.4" customHeight="1">
      <c r="A1" s="15" t="inlineStr">
        <is>
          <t>OfficeAI 新手任务 ！
想要快速掌握 OfficeAI 强大表格处理功能，请从以下简单任务开始，尝试用提示词来完成不同难度的表格处理任务，如果遇到效果没达到预期的情况，请按以下思路进行调优
1、开启深度联动：开启右侧对话框底部【深度联动】功能，让大模型读取表格中的数据，才有更好的处理效果
2、更换大模型：不同大模型在处理文档和表格任务时，能力差异很大，建议切换不同模型进行尝试，切换模型后需要关闭文件后重新打开再用（以下为少量模型对比测试结果，仅供参考）
3、清空上下文：点击右侧面板右上角更多按钮，点击【清空聊天记录】或清空后关闭表格重新打开，避免上下文干扰
4、更换提示词：尽可能表述清晰明确，让大模型更容易理解你的意图</t>
        </is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ht="25.9" customHeight="1">
      <c r="A2" s="17" t="inlineStr">
        <is>
          <t>任务难度</t>
        </is>
      </c>
      <c r="B2" s="17" t="inlineStr">
        <is>
          <t>序号</t>
        </is>
      </c>
      <c r="C2" s="18" t="inlineStr">
        <is>
          <t>操作步骤</t>
        </is>
      </c>
      <c r="D2" s="19" t="inlineStr">
        <is>
          <t>提示词</t>
        </is>
      </c>
      <c r="E2" s="19" t="inlineStr">
        <is>
          <t>跳转操作</t>
        </is>
      </c>
      <c r="F2" s="20"/>
      <c r="G2" s="20"/>
      <c r="H2" s="20"/>
      <c r="I2" s="32"/>
      <c r="J2" s="24" t="inlineStr">
        <is>
          <t>DeepSeek</t>
        </is>
      </c>
      <c r="K2" s="24"/>
      <c r="L2" s="24"/>
      <c r="M2" s="24" t="inlineStr">
        <is>
          <t>海外模型</t>
        </is>
      </c>
      <c r="N2" s="24"/>
      <c r="O2" s="24"/>
    </row>
    <row r="3" ht="33">
      <c r="A3" s="21"/>
      <c r="B3" s="21"/>
      <c r="C3" s="22"/>
      <c r="D3" s="23"/>
      <c r="E3" s="23"/>
      <c r="F3" s="24" t="inlineStr">
        <is>
          <t>Qwen2.5
72B-intruct</t>
        </is>
      </c>
      <c r="G3" s="24" t="inlineStr">
        <is>
          <t>Qwen3
32B</t>
        </is>
      </c>
      <c r="H3" s="24" t="inlineStr">
        <is>
          <t>Qwen3
30B</t>
        </is>
      </c>
      <c r="I3" s="24" t="inlineStr">
        <is>
          <t>Qwen3
235B-A22B</t>
        </is>
      </c>
      <c r="J3" s="24" t="inlineStr">
        <is>
          <t>DeepSeek R1
32B</t>
        </is>
      </c>
      <c r="K3" s="24" t="inlineStr">
        <is>
          <t>DeepSeek R1
671B</t>
        </is>
      </c>
      <c r="L3" s="24" t="inlineStr">
        <is>
          <t>DeepSeek V3
0324</t>
        </is>
      </c>
      <c r="M3" s="24" t="inlineStr">
        <is>
          <t>GTP4
o1</t>
        </is>
      </c>
      <c r="N3" s="24" t="inlineStr">
        <is>
          <t>Gemini 2.5
Pro</t>
        </is>
      </c>
      <c r="O3" s="24" t="inlineStr">
        <is>
          <t>Gemma3
27B</t>
        </is>
      </c>
    </row>
    <row r="4" ht="82.5">
      <c r="A4" s="17" t="inlineStr">
        <is>
          <t>简单任务</t>
        </is>
      </c>
      <c r="B4" s="25">
        <v>1</v>
      </c>
      <c r="C4" s="26" t="inlineStr">
        <is>
          <t>复杂数据拆分</t>
        </is>
      </c>
      <c r="D4" s="26" t="inlineStr">
        <is>
          <t>请将员工表中的B列员工信息中的姓名、电话号码拆分成两列，分别填入CD列中</t>
        </is>
      </c>
      <c r="E4" s="27" t="inlineStr">
        <is>
          <t>点击跳转</t>
        </is>
      </c>
      <c r="F4" s="28" t="inlineStr">
        <is>
          <t>✔</t>
        </is>
      </c>
      <c r="G4" s="28" t="inlineStr">
        <is>
          <t>✔</t>
        </is>
      </c>
      <c r="H4" s="28" t="inlineStr">
        <is>
          <t>✔</t>
        </is>
      </c>
      <c r="I4" s="28" t="inlineStr">
        <is>
          <t>✔</t>
        </is>
      </c>
      <c r="J4" s="28" t="inlineStr">
        <is>
          <t>✔</t>
        </is>
      </c>
      <c r="K4" s="28" t="inlineStr">
        <is>
          <t>✔</t>
        </is>
      </c>
      <c r="L4" s="28" t="inlineStr">
        <is>
          <t>✔</t>
        </is>
      </c>
      <c r="M4" s="28" t="inlineStr">
        <is>
          <t>✔</t>
        </is>
      </c>
      <c r="N4" s="30" t="inlineStr">
        <is>
          <t>❌</t>
        </is>
      </c>
      <c r="O4" s="30" t="inlineStr">
        <is>
          <t>❌</t>
        </is>
      </c>
    </row>
    <row r="5" ht="115.5">
      <c r="A5" s="29"/>
      <c r="B5" s="25">
        <v>2</v>
      </c>
      <c r="C5" s="26" t="inlineStr">
        <is>
          <t>身份证号提取生日并计算年龄</t>
        </is>
      </c>
      <c r="D5" s="26" t="inlineStr">
        <is>
          <t>请将员工表中身份证号中的出生年月日提取到生日列的对应位置，年/月/日用“/”隔开，根据员工表中生日列数据计算出年龄，填入年龄列</t>
        </is>
      </c>
      <c r="E5" s="27" t="inlineStr">
        <is>
          <t>点击跳转</t>
        </is>
      </c>
      <c r="F5" s="30" t="inlineStr">
        <is>
          <t>❌</t>
        </is>
      </c>
      <c r="G5" s="28" t="inlineStr">
        <is>
          <t>✔</t>
        </is>
      </c>
      <c r="H5" s="28" t="inlineStr">
        <is>
          <t>✔</t>
        </is>
      </c>
      <c r="I5" s="28" t="inlineStr">
        <is>
          <t>✔</t>
        </is>
      </c>
      <c r="J5" s="30" t="inlineStr">
        <is>
          <t>❌</t>
        </is>
      </c>
      <c r="K5" s="30" t="inlineStr">
        <is>
          <t>❌</t>
        </is>
      </c>
      <c r="L5" s="28" t="inlineStr">
        <is>
          <t>✔</t>
        </is>
      </c>
      <c r="M5" s="28" t="inlineStr">
        <is>
          <t>✔</t>
        </is>
      </c>
      <c r="N5" s="30" t="inlineStr">
        <is>
          <t>❌</t>
        </is>
      </c>
      <c r="O5" s="28" t="inlineStr">
        <is>
          <t>✔</t>
        </is>
      </c>
    </row>
    <row r="6" ht="34" customHeight="1">
      <c r="A6" s="29"/>
      <c r="B6" s="25">
        <v>3</v>
      </c>
      <c r="C6" s="26" t="inlineStr">
        <is>
          <t>身份证号脱敏</t>
        </is>
      </c>
      <c r="D6" s="26" t="inlineStr">
        <is>
          <t>请将'员工'表中的F列'身份证号'的出生年月日变为' *'</t>
        </is>
      </c>
      <c r="E6" s="27" t="inlineStr">
        <is>
          <t>点击跳转</t>
        </is>
      </c>
      <c r="F6" s="30" t="inlineStr">
        <is>
          <t>❌</t>
        </is>
      </c>
      <c r="G6" s="28" t="inlineStr">
        <is>
          <t>✔</t>
        </is>
      </c>
      <c r="H6" s="28" t="inlineStr">
        <is>
          <t>✔</t>
        </is>
      </c>
      <c r="I6" s="28" t="inlineStr">
        <is>
          <t>✔</t>
        </is>
      </c>
      <c r="J6" s="30" t="inlineStr">
        <is>
          <t>❌</t>
        </is>
      </c>
      <c r="K6" s="28" t="inlineStr">
        <is>
          <t>✔</t>
        </is>
      </c>
      <c r="L6" s="28" t="inlineStr">
        <is>
          <t>✔</t>
        </is>
      </c>
      <c r="M6" s="28" t="inlineStr">
        <is>
          <t>✔</t>
        </is>
      </c>
      <c r="N6" s="28" t="inlineStr">
        <is>
          <t>✔</t>
        </is>
      </c>
      <c r="O6" s="28" t="inlineStr">
        <is>
          <t>✔</t>
        </is>
      </c>
    </row>
    <row r="7" ht="34" customHeight="1">
      <c r="A7" s="29"/>
      <c r="B7" s="25">
        <v>4</v>
      </c>
      <c r="C7" s="26" t="inlineStr">
        <is>
          <t>高亮特定数值范围</t>
        </is>
      </c>
      <c r="D7" s="26" t="inlineStr">
        <is>
          <t>在员工表中，将薪资列中薪资低于10000的标记为红色</t>
        </is>
      </c>
      <c r="E7" s="27" t="inlineStr">
        <is>
          <t>点击跳转</t>
        </is>
      </c>
      <c r="F7" s="30" t="inlineStr">
        <is>
          <t>❌</t>
        </is>
      </c>
      <c r="G7" s="28" t="inlineStr">
        <is>
          <t>✔</t>
        </is>
      </c>
      <c r="H7" s="28" t="inlineStr">
        <is>
          <t>✔</t>
        </is>
      </c>
      <c r="I7" s="28" t="inlineStr">
        <is>
          <t>✔</t>
        </is>
      </c>
      <c r="J7" s="30" t="inlineStr">
        <is>
          <t>❌</t>
        </is>
      </c>
      <c r="K7" s="28" t="inlineStr">
        <is>
          <t>✔</t>
        </is>
      </c>
      <c r="L7" s="28" t="inlineStr">
        <is>
          <t>✔</t>
        </is>
      </c>
      <c r="M7" s="28" t="inlineStr">
        <is>
          <t>✔</t>
        </is>
      </c>
      <c r="N7" s="28" t="inlineStr">
        <is>
          <t>✔</t>
        </is>
      </c>
      <c r="O7" s="28" t="inlineStr">
        <is>
          <t>✔</t>
        </is>
      </c>
    </row>
    <row r="8" ht="115.5">
      <c r="A8" s="21"/>
      <c r="B8" s="25">
        <v>5</v>
      </c>
      <c r="C8" s="31" t="inlineStr">
        <is>
          <t>表格样式调整</t>
        </is>
      </c>
      <c r="D8" s="31" t="inlineStr">
        <is>
          <t>为员工表和客户表的表头添加浅灰色背景，为有内容的区域统一添加边框，调整员工表中的列宽以适配内容，调整行高为20</t>
        </is>
      </c>
      <c r="E8" s="27" t="inlineStr">
        <is>
          <t>点击跳转</t>
        </is>
      </c>
      <c r="F8" s="28" t="inlineStr">
        <is>
          <t>✔</t>
        </is>
      </c>
      <c r="G8" s="28" t="inlineStr">
        <is>
          <t>✔</t>
        </is>
      </c>
      <c r="H8" s="28" t="inlineStr">
        <is>
          <t>✔</t>
        </is>
      </c>
      <c r="I8" s="28" t="inlineStr">
        <is>
          <t>✔</t>
        </is>
      </c>
      <c r="J8" s="30" t="inlineStr">
        <is>
          <t>❌</t>
        </is>
      </c>
      <c r="K8" s="33" t="inlineStr">
        <is>
          <t>✔</t>
        </is>
      </c>
      <c r="L8" s="28" t="inlineStr">
        <is>
          <t>✔</t>
        </is>
      </c>
      <c r="M8" s="28" t="inlineStr">
        <is>
          <t>✔</t>
        </is>
      </c>
      <c r="N8" s="28" t="inlineStr">
        <is>
          <t>✔</t>
        </is>
      </c>
      <c r="O8" s="28" t="inlineStr">
        <is>
          <t>✔</t>
        </is>
      </c>
    </row>
    <row r="9" ht="99">
      <c r="A9" s="17" t="inlineStr">
        <is>
          <t>进阶任务</t>
        </is>
      </c>
      <c r="B9" s="25">
        <v>6</v>
      </c>
      <c r="C9" s="31" t="inlineStr">
        <is>
          <t>条件判断归类</t>
        </is>
      </c>
      <c r="D9" s="31" t="inlineStr">
        <is>
          <t>在员工表中判断薪资列数值小于10000时职级为初级，薪资大于等于10000时职级为中级，将每条数据判断结果填入职级列</t>
        </is>
      </c>
      <c r="E9" s="27" t="inlineStr">
        <is>
          <t>点击跳转</t>
        </is>
      </c>
      <c r="F9" s="30" t="inlineStr">
        <is>
          <t>❌</t>
        </is>
      </c>
      <c r="G9" s="28" t="inlineStr">
        <is>
          <t>✔</t>
        </is>
      </c>
      <c r="H9" s="28" t="inlineStr">
        <is>
          <t>✔</t>
        </is>
      </c>
      <c r="I9" s="28" t="inlineStr">
        <is>
          <t>✔</t>
        </is>
      </c>
      <c r="J9" s="30" t="inlineStr">
        <is>
          <t>❌</t>
        </is>
      </c>
      <c r="K9" s="28" t="inlineStr">
        <is>
          <t>✔</t>
        </is>
      </c>
      <c r="L9" s="28" t="inlineStr">
        <is>
          <t>✔</t>
        </is>
      </c>
      <c r="M9" s="28" t="inlineStr">
        <is>
          <t>✔</t>
        </is>
      </c>
      <c r="N9" s="28" t="inlineStr">
        <is>
          <t>✔</t>
        </is>
      </c>
      <c r="O9" s="28" t="inlineStr">
        <is>
          <t>✔</t>
        </is>
      </c>
    </row>
    <row r="10" ht="82.5">
      <c r="A10" s="29"/>
      <c r="B10" s="25">
        <v>7</v>
      </c>
      <c r="C10" s="31" t="inlineStr">
        <is>
          <t>生成示例数据</t>
        </is>
      </c>
      <c r="D10" s="31" t="inlineStr">
        <is>
          <t>为销售订单表新增5行新的示例数据。从第8列开始在每列填入数据，要求合同id递增。</t>
        </is>
      </c>
      <c r="E10" s="27" t="inlineStr">
        <is>
          <t>点击跳转</t>
        </is>
      </c>
      <c r="F10" s="30" t="inlineStr">
        <is>
          <t>❌</t>
        </is>
      </c>
      <c r="G10" s="28" t="inlineStr">
        <is>
          <t>✔</t>
        </is>
      </c>
      <c r="H10" s="28" t="inlineStr">
        <is>
          <t>✔</t>
        </is>
      </c>
      <c r="I10" s="28" t="inlineStr">
        <is>
          <t>✔</t>
        </is>
      </c>
      <c r="J10" s="30" t="inlineStr">
        <is>
          <t>❌</t>
        </is>
      </c>
      <c r="K10" s="28" t="inlineStr">
        <is>
          <t>✔</t>
        </is>
      </c>
      <c r="L10" s="28" t="inlineStr">
        <is>
          <t>✔</t>
        </is>
      </c>
      <c r="M10" s="28" t="inlineStr">
        <is>
          <t>✔</t>
        </is>
      </c>
      <c r="N10" s="28" t="inlineStr">
        <is>
          <t>✔</t>
        </is>
      </c>
      <c r="O10" s="28" t="inlineStr">
        <is>
          <t>✔</t>
        </is>
      </c>
    </row>
    <row r="11" ht="99">
      <c r="A11" s="29"/>
      <c r="B11" s="25">
        <v>8</v>
      </c>
      <c r="C11" s="31" t="inlineStr">
        <is>
          <t>批量添加数据</t>
        </is>
      </c>
      <c r="D11" s="31" t="inlineStr">
        <is>
          <t>分别在销售订单、收款单两张表新增客户名称列，根据客户ID、合同ID查询并填入相关联的客户名称数据</t>
        </is>
      </c>
      <c r="E11" s="27" t="inlineStr">
        <is>
          <t>点击跳转</t>
        </is>
      </c>
      <c r="F11" s="28" t="inlineStr">
        <is>
          <t>✔</t>
        </is>
      </c>
      <c r="G11" s="30" t="inlineStr">
        <is>
          <t>❌</t>
        </is>
      </c>
      <c r="H11" s="30" t="inlineStr">
        <is>
          <t>❌</t>
        </is>
      </c>
      <c r="I11" s="30" t="inlineStr">
        <is>
          <t>❌</t>
        </is>
      </c>
      <c r="J11" s="30" t="inlineStr">
        <is>
          <t>❌</t>
        </is>
      </c>
      <c r="K11" s="28" t="inlineStr">
        <is>
          <t>✔</t>
        </is>
      </c>
      <c r="L11" s="28" t="inlineStr">
        <is>
          <t>✔</t>
        </is>
      </c>
      <c r="M11" s="28" t="inlineStr">
        <is>
          <t>✔</t>
        </is>
      </c>
      <c r="N11" s="28" t="inlineStr">
        <is>
          <t>✔</t>
        </is>
      </c>
      <c r="O11" s="30" t="inlineStr">
        <is>
          <t>❌</t>
        </is>
      </c>
    </row>
    <row r="12" ht="34" customHeight="1">
      <c r="A12" s="29"/>
      <c r="B12" s="25">
        <v>9</v>
      </c>
      <c r="C12" s="31" t="inlineStr">
        <is>
          <t>批量修改数据</t>
        </is>
      </c>
      <c r="D12" s="31" t="inlineStr">
        <is>
          <t>把所有表格中的姓名“钱多多”都改为“老钱”</t>
        </is>
      </c>
      <c r="E12" s="27" t="inlineStr">
        <is>
          <t>点击跳转</t>
        </is>
      </c>
      <c r="F12" s="28" t="inlineStr">
        <is>
          <t>✔</t>
        </is>
      </c>
      <c r="G12" s="28" t="inlineStr">
        <is>
          <t>✔</t>
        </is>
      </c>
      <c r="H12" s="28" t="inlineStr">
        <is>
          <t>✔</t>
        </is>
      </c>
      <c r="I12" s="28" t="inlineStr">
        <is>
          <t>✔</t>
        </is>
      </c>
      <c r="J12" s="30" t="inlineStr">
        <is>
          <t>❌</t>
        </is>
      </c>
      <c r="K12" s="28" t="inlineStr">
        <is>
          <t>✔</t>
        </is>
      </c>
      <c r="L12" s="28" t="inlineStr">
        <is>
          <t>✔</t>
        </is>
      </c>
      <c r="M12" s="28" t="inlineStr">
        <is>
          <t>✔</t>
        </is>
      </c>
      <c r="N12" s="30" t="inlineStr">
        <is>
          <t>❌</t>
        </is>
      </c>
      <c r="O12" s="30" t="inlineStr">
        <is>
          <t>❌</t>
        </is>
      </c>
    </row>
    <row r="13" ht="115.5">
      <c r="A13" s="21"/>
      <c r="B13" s="25">
        <v>10</v>
      </c>
      <c r="C13" s="31" t="inlineStr">
        <is>
          <t>批量清洗数据</t>
        </is>
      </c>
      <c r="D13" s="31" t="inlineStr">
        <is>
          <t>在客户表增加新的“省/市”字段列，将详细地址中的“省市”信息提取出来填入“省/市”字段列，只需要填充有详细地址数据的行</t>
        </is>
      </c>
      <c r="E13" s="27" t="inlineStr">
        <is>
          <t>点击跳转</t>
        </is>
      </c>
      <c r="F13" s="30" t="inlineStr">
        <is>
          <t>❌</t>
        </is>
      </c>
      <c r="G13" s="28" t="inlineStr">
        <is>
          <t>✔</t>
        </is>
      </c>
      <c r="H13" s="30" t="inlineStr">
        <is>
          <t>❌</t>
        </is>
      </c>
      <c r="I13" s="28" t="inlineStr">
        <is>
          <t>✔</t>
        </is>
      </c>
      <c r="J13" s="28" t="inlineStr">
        <is>
          <t>✔</t>
        </is>
      </c>
      <c r="K13" s="28" t="inlineStr">
        <is>
          <t>✔</t>
        </is>
      </c>
      <c r="L13" s="28" t="inlineStr">
        <is>
          <t>✔</t>
        </is>
      </c>
      <c r="M13" s="28" t="inlineStr">
        <is>
          <t>✔</t>
        </is>
      </c>
      <c r="N13" s="28" t="inlineStr">
        <is>
          <t>✔</t>
        </is>
      </c>
      <c r="O13" s="30" t="inlineStr">
        <is>
          <t>❌</t>
        </is>
      </c>
    </row>
    <row r="14" ht="82.5">
      <c r="A14" s="29" t="inlineStr">
        <is>
          <t>复杂任务</t>
        </is>
      </c>
      <c r="B14" s="25">
        <v>11</v>
      </c>
      <c r="C14" s="31" t="inlineStr">
        <is>
          <t>员工销售业绩汇总</t>
        </is>
      </c>
      <c r="D14" s="31" t="inlineStr">
        <is>
          <t>在员工表中，根据姓名，汇总关联的销售订单表中的合同金额，填入员工表中的业绩完成额L列</t>
        </is>
      </c>
      <c r="E14" s="27" t="inlineStr">
        <is>
          <t>点击跳转</t>
        </is>
      </c>
      <c r="F14" s="30" t="inlineStr">
        <is>
          <t>❌</t>
        </is>
      </c>
      <c r="G14" s="28" t="inlineStr">
        <is>
          <t>✔</t>
        </is>
      </c>
      <c r="H14" s="28" t="inlineStr">
        <is>
          <t>✔</t>
        </is>
      </c>
      <c r="I14" s="28" t="inlineStr">
        <is>
          <t>✔</t>
        </is>
      </c>
      <c r="J14" s="28" t="inlineStr">
        <is>
          <t>✔</t>
        </is>
      </c>
      <c r="K14" s="28" t="inlineStr">
        <is>
          <t>✔</t>
        </is>
      </c>
      <c r="L14" s="28" t="inlineStr">
        <is>
          <t>✔</t>
        </is>
      </c>
      <c r="M14" s="28" t="inlineStr">
        <is>
          <t>✔</t>
        </is>
      </c>
      <c r="N14" s="30" t="inlineStr">
        <is>
          <t>❌</t>
        </is>
      </c>
      <c r="O14" s="30" t="inlineStr">
        <is>
          <t>❌</t>
        </is>
      </c>
    </row>
    <row r="15" ht="231">
      <c r="A15" s="29"/>
      <c r="B15" s="25">
        <v>12</v>
      </c>
      <c r="C15" s="31" t="inlineStr">
        <is>
          <t>阶梯佣金计算（依赖任务11）</t>
        </is>
      </c>
      <c r="D15" s="31" t="inlineStr">
        <is>
          <t>在员工表中，先用业绩完成额除以业绩目标计算出业绩完成率并填入业绩完成率M列，再按以下规则计算销售佣金，当业绩完成率大于等于100%时用业绩完成额乘以10%，业绩完成率小于100%则用业绩完成额乘以5%，将佣金计算结果填入员工表的销售佣金列</t>
        </is>
      </c>
      <c r="E15" s="27" t="inlineStr">
        <is>
          <t>点击跳转</t>
        </is>
      </c>
      <c r="F15" s="30" t="inlineStr">
        <is>
          <t>❌</t>
        </is>
      </c>
      <c r="G15" s="28" t="inlineStr">
        <is>
          <t>✔</t>
        </is>
      </c>
      <c r="H15" s="28" t="inlineStr">
        <is>
          <t>✔</t>
        </is>
      </c>
      <c r="I15" s="28" t="inlineStr">
        <is>
          <t>✔</t>
        </is>
      </c>
      <c r="J15" s="30" t="inlineStr">
        <is>
          <t>❌</t>
        </is>
      </c>
      <c r="K15" s="28" t="inlineStr">
        <is>
          <t>✔</t>
        </is>
      </c>
      <c r="L15" s="28" t="inlineStr">
        <is>
          <t>✔</t>
        </is>
      </c>
      <c r="M15" s="28" t="inlineStr">
        <is>
          <t>✔</t>
        </is>
      </c>
      <c r="N15" s="30" t="inlineStr">
        <is>
          <t>❌</t>
        </is>
      </c>
      <c r="O15" s="30" t="inlineStr">
        <is>
          <t>❌</t>
        </is>
      </c>
    </row>
    <row r="16" ht="82.5">
      <c r="A16" s="29"/>
      <c r="B16" s="25">
        <v>13</v>
      </c>
      <c r="C16" s="31" t="inlineStr">
        <is>
          <t>关联表汇总统计</t>
        </is>
      </c>
      <c r="D16" s="31" t="inlineStr">
        <is>
          <t>在客户表中添加累计合同金额、累计收款金额、累计应收账款三列，在关联表中汇总并填入数据</t>
        </is>
      </c>
      <c r="E16" s="27" t="inlineStr">
        <is>
          <t>点击跳转</t>
        </is>
      </c>
      <c r="F16" s="30" t="inlineStr">
        <is>
          <t>❌</t>
        </is>
      </c>
      <c r="G16" s="30" t="inlineStr">
        <is>
          <t>❌</t>
        </is>
      </c>
      <c r="H16" s="28" t="inlineStr">
        <is>
          <t>✔</t>
        </is>
      </c>
      <c r="I16" s="28" t="inlineStr">
        <is>
          <t>✔</t>
        </is>
      </c>
      <c r="J16" s="30" t="inlineStr">
        <is>
          <t>❌</t>
        </is>
      </c>
      <c r="K16" s="30" t="inlineStr">
        <is>
          <t>❌</t>
        </is>
      </c>
      <c r="L16" s="28" t="inlineStr">
        <is>
          <t>✔</t>
        </is>
      </c>
      <c r="M16" s="30" t="inlineStr">
        <is>
          <t>❌</t>
        </is>
      </c>
      <c r="N16" s="30" t="inlineStr">
        <is>
          <t>❌</t>
        </is>
      </c>
      <c r="O16" s="30" t="inlineStr">
        <is>
          <t>❌</t>
        </is>
      </c>
    </row>
    <row r="17" ht="82.5">
      <c r="A17" s="21"/>
      <c r="B17" s="25">
        <v>14</v>
      </c>
      <c r="C17" s="31" t="inlineStr">
        <is>
          <t>统计并生成图表</t>
        </is>
      </c>
      <c r="D17" s="31" t="inlineStr">
        <is>
          <t>统计分析每月合同金额、每月收款金额数据，生成柱状图；按销售区域统计合同金额，生成饼状图</t>
        </is>
      </c>
      <c r="E17" s="27"/>
      <c r="F17" s="30" t="inlineStr">
        <is>
          <t>❌</t>
        </is>
      </c>
      <c r="G17" s="30" t="inlineStr">
        <is>
          <t>❌</t>
        </is>
      </c>
      <c r="H17" s="30" t="inlineStr">
        <is>
          <t>❌</t>
        </is>
      </c>
      <c r="I17" s="28" t="inlineStr">
        <is>
          <t>✔</t>
        </is>
      </c>
      <c r="J17" s="30" t="inlineStr">
        <is>
          <t>❌</t>
        </is>
      </c>
      <c r="K17" s="28" t="inlineStr">
        <is>
          <t>✔</t>
        </is>
      </c>
      <c r="L17" s="28" t="inlineStr">
        <is>
          <t>✔</t>
        </is>
      </c>
      <c r="M17" s="30" t="inlineStr">
        <is>
          <t>❌</t>
        </is>
      </c>
      <c r="N17" s="30" t="inlineStr">
        <is>
          <t>❌</t>
        </is>
      </c>
      <c r="O17" s="30" t="inlineStr">
        <is>
          <t>❌</t>
        </is>
      </c>
    </row>
  </sheetData>
  <mergeCells count="12">
    <mergeCell ref="A1:O1"/>
    <mergeCell ref="F2:I2"/>
    <mergeCell ref="J2:L2"/>
    <mergeCell ref="M2:O2"/>
    <mergeCell ref="A2:A3"/>
    <mergeCell ref="A4:A8"/>
    <mergeCell ref="A9:A13"/>
    <mergeCell ref="A14:A17"/>
    <mergeCell ref="B2:B3"/>
    <mergeCell ref="C2:C3"/>
    <mergeCell ref="D2:D3"/>
    <mergeCell ref="E2:E3"/>
  </mergeCells>
  <hyperlinks>
    <hyperlink ref="E4" location="员工!A1" display="点击跳转"/>
    <hyperlink ref="E5" location="员工!A1" display="点击跳转"/>
    <hyperlink ref="E6" location="员工!A1" display="点击跳转"/>
    <hyperlink ref="E8" location="员工!A1" display="点击跳转"/>
    <hyperlink ref="E9" location="员工!A1" display="点击跳转"/>
    <hyperlink ref="E10" location="销售订单!A1" display="点击跳转"/>
    <hyperlink ref="E11" location="收款单!A1" display="点击跳转"/>
    <hyperlink ref="E12" location="客户!A1" display="点击跳转"/>
    <hyperlink ref="E13" location="客户!A1" display="点击跳转"/>
    <hyperlink ref="E16" location="客户!A1" display="点击跳转"/>
    <hyperlink ref="E7" location="员工!A1" display="点击跳转"/>
    <hyperlink ref="E15" location="员工!A1" display="点击跳转"/>
    <hyperlink ref="E14" location="员工!A1" display="点击跳转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selection activeCell="F35" sqref="F35"/>
    </sheetView>
  </sheetViews>
  <cols>
    <col min="1" max="1" width="6.75" customWidth="1"/>
    <col min="2" max="2" width="46.0833333333333" customWidth="1"/>
    <col min="3" max="3" width="6.83333333333333" customWidth="1"/>
    <col min="4" max="4" width="12.1666666666667" customWidth="1"/>
    <col min="5" max="5" width="4.91666666666667" customWidth="1"/>
    <col min="6" max="6" width="19.5833333333333" customWidth="1"/>
    <col min="7" max="8" width="4.91666666666667" customWidth="1"/>
    <col min="9" max="9" width="6.08333333333333" customWidth="1"/>
    <col min="10" max="10" width="4.91666666666667" customWidth="1"/>
    <col min="11" max="11" width="8.83333333333333" customWidth="1"/>
    <col min="12" max="13" width="10.8333333333333" customWidth="1"/>
    <col min="14" max="14" width="8.83333333333333" customWidth="1"/>
  </cols>
  <sheetData>
    <row r="1" customHeight="1">
      <c r="A1" s="41" t="inlineStr">
        <is>
          <t>员工ID</t>
        </is>
      </c>
      <c r="B1" s="41" t="inlineStr">
        <is>
          <t>员工信息</t>
        </is>
      </c>
      <c r="C1" s="41" t="inlineStr">
        <is>
          <t>姓名</t>
        </is>
      </c>
      <c r="D1" s="42" t="inlineStr">
        <is>
          <t>电话</t>
        </is>
      </c>
      <c r="E1" s="41" t="inlineStr">
        <is>
          <t>地址</t>
        </is>
      </c>
      <c r="F1" s="42" t="inlineStr">
        <is>
          <t>身份证号</t>
        </is>
      </c>
      <c r="G1" s="41" t="inlineStr">
        <is>
          <t>生日</t>
        </is>
      </c>
      <c r="H1" s="41" t="inlineStr">
        <is>
          <t>年龄</t>
        </is>
      </c>
      <c r="I1" s="43" t="inlineStr">
        <is>
          <t>薪资</t>
        </is>
      </c>
      <c r="J1" s="41" t="inlineStr">
        <is>
          <t>职级</t>
        </is>
      </c>
      <c r="K1" s="2" t="inlineStr">
        <is>
          <t>业绩目标</t>
        </is>
      </c>
      <c r="L1" s="5" t="inlineStr">
        <is>
          <t>业绩完成额</t>
        </is>
      </c>
      <c r="M1" s="2" t="inlineStr">
        <is>
          <t>业绩完成率</t>
        </is>
      </c>
      <c r="N1" s="5" t="inlineStr">
        <is>
          <t>销售佣金</t>
        </is>
      </c>
    </row>
    <row r="2" customHeight="1">
      <c r="A2" s="34" t="inlineStr">
        <is>
          <t>E001</t>
        </is>
      </c>
      <c r="B2" s="34" t="inlineStr">
        <is>
          <t>张三 13812345678 北京市朝阳区建国路88号</t>
        </is>
      </c>
      <c r="C2" s="37" t="inlineStr">
        <is>
          <t>张三</t>
        </is>
      </c>
      <c r="D2" s="38" t="inlineStr">
        <is>
          <t>13812345678</t>
        </is>
      </c>
      <c r="E2" s="39" t="inlineStr">
        <is>
          <t>北京市朝阳区建国路88号</t>
        </is>
      </c>
      <c r="F2" s="35" t="inlineStr">
        <is>
          <t>510*******000</t>
        </is>
      </c>
      <c r="G2" s="40" t="inlineStr">
        <is>
          <t>1989-08-09</t>
        </is>
      </c>
      <c r="H2" s="34">
        <v>36</v>
      </c>
      <c r="I2" s="44">
        <v>8500</v>
      </c>
      <c r="J2" s="34">
        <f>IF(I2&gt;=12000,"高级",IF(I2&gt;=10000,"中级","初级"))</f>
      </c>
      <c r="K2" s="2">
        <v>125000</v>
      </c>
      <c r="L2" s="5">
        <v>242000</v>
      </c>
      <c r="M2" s="14">
        <v>1.936</v>
      </c>
      <c r="N2" s="5">
        <v>24200</v>
      </c>
    </row>
    <row r="3" customHeight="1">
      <c r="A3" s="34" t="inlineStr">
        <is>
          <t>E002</t>
        </is>
      </c>
      <c r="B3" s="34" t="inlineStr">
        <is>
          <t>李四 15987654321 上海市浦东新区张江高科技园区</t>
        </is>
      </c>
      <c r="C3" s="37" t="inlineStr">
        <is>
          <t>李四</t>
        </is>
      </c>
      <c r="D3" s="38" t="inlineStr">
        <is>
          <t>15987654321</t>
        </is>
      </c>
      <c r="E3" s="39" t="inlineStr">
        <is>
          <t>上海市浦东新区张江高科技园区</t>
        </is>
      </c>
      <c r="F3" s="35" t="inlineStr">
        <is>
          <t>310*******032</t>
        </is>
      </c>
      <c r="G3" s="40" t="inlineStr">
        <is>
          <t>1985-02-14</t>
        </is>
      </c>
      <c r="H3" s="34">
        <v>40</v>
      </c>
      <c r="I3" s="36">
        <v>15000</v>
      </c>
      <c r="J3" s="34">
        <f>IF(I3&gt;=12000,"高级",IF(I3&gt;=10000,"中级","初级"))</f>
      </c>
      <c r="K3" s="2">
        <v>180000</v>
      </c>
      <c r="L3" s="5">
        <v>89000</v>
      </c>
      <c r="M3" s="14">
        <v>0.49444444444444446</v>
      </c>
      <c r="N3" s="5">
        <v>4450</v>
      </c>
    </row>
    <row r="4" customHeight="1">
      <c r="A4" s="34" t="inlineStr">
        <is>
          <t>E003</t>
        </is>
      </c>
      <c r="B4" s="34" t="inlineStr">
        <is>
          <t>王五 18611112222 广州市天河区体育西路28号</t>
        </is>
      </c>
      <c r="C4" s="37" t="inlineStr">
        <is>
          <t>王五</t>
        </is>
      </c>
      <c r="D4" s="38" t="inlineStr">
        <is>
          <t>18611112222</t>
        </is>
      </c>
      <c r="E4" s="39" t="inlineStr">
        <is>
          <t>广州市天河区体育西路28号</t>
        </is>
      </c>
      <c r="F4" s="35" t="inlineStr">
        <is>
          <t>440*******080</t>
        </is>
      </c>
      <c r="G4" s="40" t="inlineStr">
        <is>
          <t>1991-11-22</t>
        </is>
      </c>
      <c r="H4" s="34">
        <v>34</v>
      </c>
      <c r="I4" s="44">
        <v>9500</v>
      </c>
      <c r="J4" s="34">
        <f>IF(I4&gt;=12000,"高级",IF(I4&gt;=10000,"中级","初级"))</f>
      </c>
      <c r="K4" s="2">
        <v>95000</v>
      </c>
      <c r="L4" s="5">
        <v>215000</v>
      </c>
      <c r="M4" s="14">
        <v>2.263157894736842</v>
      </c>
      <c r="N4" s="5">
        <v>21500</v>
      </c>
    </row>
    <row r="5" customHeight="1">
      <c r="A5" s="34" t="inlineStr">
        <is>
          <t>E004</t>
        </is>
      </c>
      <c r="B5" s="34" t="inlineStr">
        <is>
          <t>钱多多 13555556666 深圳市南山区科技园路1号</t>
        </is>
      </c>
      <c r="C5" s="37" t="inlineStr">
        <is>
          <t>钱多多</t>
        </is>
      </c>
      <c r="D5" s="38" t="inlineStr">
        <is>
          <t>13555556666</t>
        </is>
      </c>
      <c r="E5" s="39" t="inlineStr">
        <is>
          <t>深圳市南山区科技园路1号</t>
        </is>
      </c>
      <c r="F5" s="35" t="inlineStr">
        <is>
          <t>510*******020</t>
        </is>
      </c>
      <c r="G5" s="40" t="inlineStr">
        <is>
          <t>1989-08-09</t>
        </is>
      </c>
      <c r="H5" s="34">
        <v>36</v>
      </c>
      <c r="I5" s="36">
        <v>11000</v>
      </c>
      <c r="J5" s="34">
        <f>IF(I5&gt;=12000,"高级",IF(I5&gt;=10000,"中级","初级"))</f>
      </c>
      <c r="K5" s="2">
        <v>150000</v>
      </c>
      <c r="L5" s="5">
        <v>75000</v>
      </c>
      <c r="M5" s="14">
        <v>0.5</v>
      </c>
      <c r="N5" s="5">
        <v>3750</v>
      </c>
    </row>
    <row r="6" customHeight="1">
      <c r="A6" s="34" t="inlineStr">
        <is>
          <t>E005</t>
        </is>
      </c>
      <c r="B6" s="34" t="inlineStr">
        <is>
          <t>赵高 19988876543 四川省成都市科华北路23号</t>
        </is>
      </c>
      <c r="C6" s="37" t="inlineStr">
        <is>
          <t>赵高</t>
        </is>
      </c>
      <c r="D6" s="38" t="inlineStr">
        <is>
          <t>19988876543</t>
        </is>
      </c>
      <c r="E6" s="39" t="inlineStr">
        <is>
          <t>四川省成都市科华北路23号</t>
        </is>
      </c>
      <c r="F6" s="35" t="inlineStr">
        <is>
          <t>330*******001</t>
        </is>
      </c>
      <c r="G6" s="40" t="inlineStr">
        <is>
          <t>1976-12-12</t>
        </is>
      </c>
      <c r="H6" s="34">
        <v>49</v>
      </c>
      <c r="I6" s="44">
        <v>7800</v>
      </c>
      <c r="J6" s="34">
        <f>IF(I6&gt;=12000,"高级",IF(I6&gt;=10000,"中级","初级"))</f>
      </c>
      <c r="K6" s="2">
        <v>68000</v>
      </c>
      <c r="L6" s="5">
        <v>132000</v>
      </c>
      <c r="M6" s="14">
        <v>1.9411764705882353</v>
      </c>
      <c r="N6" s="5">
        <v>13200</v>
      </c>
    </row>
    <row r="7" customHeight="1">
      <c r="A7" s="34" t="inlineStr">
        <is>
          <t>E006</t>
        </is>
      </c>
      <c r="B7" s="34" t="inlineStr">
        <is>
          <t>孙海洋 19988876543 四川省成都市科华北路23号</t>
        </is>
      </c>
      <c r="C7" s="37" t="inlineStr">
        <is>
          <t>孙海洋</t>
        </is>
      </c>
      <c r="D7" s="38" t="inlineStr">
        <is>
          <t>19988876543</t>
        </is>
      </c>
      <c r="E7" s="39" t="inlineStr">
        <is>
          <t>四川省成都市科华北路23号</t>
        </is>
      </c>
      <c r="F7" s="35" t="inlineStr">
        <is>
          <t>340*******132</t>
        </is>
      </c>
      <c r="G7" s="40" t="inlineStr">
        <is>
          <t>1989-08-09</t>
        </is>
      </c>
      <c r="H7" s="34">
        <v>36</v>
      </c>
      <c r="I7" s="36">
        <v>10500</v>
      </c>
      <c r="J7" s="34">
        <f>IF(I7&gt;=12000,"高级",IF(I7&gt;=10000,"中级","初级"))</f>
      </c>
      <c r="K7" s="2">
        <v>135000</v>
      </c>
      <c r="L7" s="5">
        <v>0</v>
      </c>
      <c r="M7" s="14">
        <v>0</v>
      </c>
      <c r="N7" s="5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XFF12"/>
  <sheetViews>
    <sheetView workbookViewId="0">
      <selection activeCell="G39" sqref="G39"/>
    </sheetView>
  </sheetViews>
  <cols>
    <col min="1" max="1" width="6.75" customWidth="1"/>
    <col min="2" max="3" width="8.83333333333333" customWidth="1"/>
    <col min="4" max="4" width="39.5" customWidth="1"/>
    <col min="7" max="10" width="12.8333333333333" customWidth="1"/>
    <col min="11" max="11" width="9.33333333333333" customWidth="1"/>
    <col min="12" max="12" width="9.91666666666667" customWidth="1"/>
    <col min="13" max="18" width="12.8333333333333" customWidth="1"/>
    <col min="16384" max="16385" width="7.41666666666667" customWidth="1"/>
    <col min="16386" max="16386" width="6.41666666666667" customWidth="1"/>
  </cols>
  <sheetData>
    <row r="1" s="5" customHeight="1">
      <c r="A1" s="6" t="inlineStr">
        <is>
          <t>客户ID</t>
        </is>
      </c>
      <c r="B1" s="6" t="inlineStr">
        <is>
          <t>客户名称</t>
        </is>
      </c>
      <c r="C1" s="6" t="inlineStr">
        <is>
          <t>销售区域</t>
        </is>
      </c>
      <c r="D1" s="6" t="inlineStr">
        <is>
          <t>详细地址</t>
        </is>
      </c>
      <c r="E1" t="inlineStr">
        <is>
          <t>省份</t>
        </is>
      </c>
      <c r="F1" t="inlineStr">
        <is>
          <t>城市</t>
        </is>
      </c>
      <c r="G1" s="6" t="inlineStr">
        <is>
          <t>累计合同金额</t>
        </is>
      </c>
      <c r="H1" s="6" t="inlineStr">
        <is>
          <t>累计收款金额</t>
        </is>
      </c>
      <c r="I1" s="6" t="inlineStr">
        <is>
          <t>累计应收账款</t>
        </is>
      </c>
      <c r="J1" s="2"/>
      <c r="K1" s="2"/>
      <c r="L1" s="2"/>
      <c r="M1" s="7"/>
      <c r="N1" s="7"/>
      <c r="O1" s="7"/>
      <c r="P1" s="7"/>
      <c r="Q1" s="7"/>
      <c r="R1" s="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8"/>
      <c r="XFE1" s="8"/>
      <c r="XFF1" s="8"/>
    </row>
    <row r="2" s="5" customHeight="1">
      <c r="A2" s="2" t="inlineStr">
        <is>
          <t>C001</t>
        </is>
      </c>
      <c r="B2" s="2" t="inlineStr">
        <is>
          <t>华东科技</t>
        </is>
      </c>
      <c r="C2" s="2" t="inlineStr">
        <is>
          <t>东部</t>
        </is>
      </c>
      <c r="D2" s="2" t="inlineStr">
        <is>
          <t>上海市浦东新区张江高科技园区科苑路88号</t>
        </is>
      </c>
      <c r="E2" t="inlineStr">
        <is>
          <t>上海</t>
        </is>
      </c>
      <c r="F2" t="inlineStr">
        <is>
          <t>上海</t>
        </is>
      </c>
      <c r="G2" s="2">
        <v>242000</v>
      </c>
      <c r="H2">
        <v>150000</v>
      </c>
      <c r="I2">
        <v>92000</v>
      </c>
      <c r="K2" s="2"/>
      <c r="L2" s="2"/>
      <c r="M2" s="7"/>
      <c r="N2" s="7"/>
      <c r="O2" s="7"/>
      <c r="P2" s="7"/>
      <c r="Q2" s="7"/>
      <c r="R2" s="7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5">
        <v>242000</v>
      </c>
      <c r="XFE2" s="5">
        <v>150000</v>
      </c>
      <c r="XFF2" s="5">
        <v>92000</v>
      </c>
    </row>
    <row r="3" s="5" customHeight="1">
      <c r="A3" s="2" t="inlineStr">
        <is>
          <t>C002</t>
        </is>
      </c>
      <c r="B3" s="2" t="inlineStr">
        <is>
          <t>北方贸易</t>
        </is>
      </c>
      <c r="C3" s="2" t="inlineStr">
        <is>
          <t>北部</t>
        </is>
      </c>
      <c r="D3" s="2" t="inlineStr">
        <is>
          <t>北京市朝阳区建国路93号万达广场A座</t>
        </is>
      </c>
      <c r="E3" t="inlineStr">
        <is>
          <t>北京</t>
        </is>
      </c>
      <c r="F3" t="inlineStr">
        <is>
          <t>北京</t>
        </is>
      </c>
      <c r="G3" s="2">
        <v>89000</v>
      </c>
      <c r="H3">
        <v>89000</v>
      </c>
      <c r="I3">
        <v>0</v>
      </c>
      <c r="K3" s="2"/>
      <c r="L3" s="2"/>
      <c r="M3" s="7"/>
      <c r="N3" s="7"/>
      <c r="O3" s="7"/>
      <c r="P3" s="7"/>
      <c r="Q3" s="7"/>
      <c r="R3" s="7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5">
        <v>89000</v>
      </c>
      <c r="XFE3" s="5">
        <v>89000</v>
      </c>
      <c r="XFF3" s="5">
        <v>0</v>
      </c>
    </row>
    <row r="4" s="5" customHeight="1">
      <c r="A4" s="2" t="inlineStr">
        <is>
          <t>C003</t>
        </is>
      </c>
      <c r="B4" s="2" t="inlineStr">
        <is>
          <t>华南制造</t>
        </is>
      </c>
      <c r="C4" s="2" t="inlineStr">
        <is>
          <t>南部</t>
        </is>
      </c>
      <c r="D4" s="2" t="inlineStr">
        <is>
          <t>广州市天河区珠江新城金穗路68号</t>
        </is>
      </c>
      <c r="E4" t="inlineStr">
        <is>
          <t/>
        </is>
      </c>
      <c r="F4" t="inlineStr">
        <is>
          <t>广州</t>
        </is>
      </c>
      <c r="G4" s="2">
        <v>215000</v>
      </c>
      <c r="H4">
        <v>215000</v>
      </c>
      <c r="I4">
        <v>0</v>
      </c>
      <c r="K4" s="2"/>
      <c r="L4" s="2"/>
      <c r="M4" s="7"/>
      <c r="N4" s="7"/>
      <c r="O4" s="7"/>
      <c r="P4" s="7"/>
      <c r="Q4" s="7"/>
      <c r="R4" s="7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5">
        <v>215000</v>
      </c>
      <c r="XFE4" s="5">
        <v>215000</v>
      </c>
      <c r="XFF4" s="5">
        <v>0</v>
      </c>
    </row>
    <row r="5" s="5" customHeight="1">
      <c r="A5" s="2" t="inlineStr">
        <is>
          <t>C004</t>
        </is>
      </c>
      <c r="B5" s="2" t="inlineStr">
        <is>
          <t>西部资源</t>
        </is>
      </c>
      <c r="C5" s="2" t="inlineStr">
        <is>
          <t>西部</t>
        </is>
      </c>
      <c r="D5" s="2" t="inlineStr">
        <is>
          <t>成都市武侯区人民南路四段12号</t>
        </is>
      </c>
      <c r="E5" t="inlineStr">
        <is>
          <t/>
        </is>
      </c>
      <c r="F5" t="inlineStr">
        <is>
          <t>成都</t>
        </is>
      </c>
      <c r="G5" s="2">
        <v>75000</v>
      </c>
      <c r="H5">
        <v>0</v>
      </c>
      <c r="I5">
        <v>75000</v>
      </c>
      <c r="K5" s="2"/>
      <c r="L5" s="2"/>
      <c r="M5" s="7"/>
      <c r="N5" s="7"/>
      <c r="O5" s="7"/>
      <c r="P5" s="7"/>
      <c r="Q5" s="7"/>
      <c r="R5" s="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  <c r="XFD5" s="5">
        <v>75000</v>
      </c>
      <c r="XFE5" s="5">
        <v>0</v>
      </c>
      <c r="XFF5" s="5">
        <v>75000</v>
      </c>
    </row>
    <row r="6" s="5" customHeight="1">
      <c r="A6" s="2" t="inlineStr">
        <is>
          <t>C005</t>
        </is>
      </c>
      <c r="B6" s="2" t="inlineStr">
        <is>
          <t>中部物流</t>
        </is>
      </c>
      <c r="C6" s="2" t="inlineStr">
        <is>
          <t>中部</t>
        </is>
      </c>
      <c r="D6" s="2" t="inlineStr">
        <is>
          <t>武汉市洪山区珞瑜路1037号</t>
        </is>
      </c>
      <c r="E6" t="inlineStr">
        <is>
          <t/>
        </is>
      </c>
      <c r="F6" t="inlineStr">
        <is>
          <t>武汉</t>
        </is>
      </c>
      <c r="G6" s="2">
        <v>132000</v>
      </c>
      <c r="H6">
        <v>80000</v>
      </c>
      <c r="I6">
        <v>52000</v>
      </c>
      <c r="K6" s="2"/>
      <c r="L6" s="2"/>
      <c r="M6" s="7"/>
      <c r="N6" s="7"/>
      <c r="O6" s="7"/>
      <c r="P6" s="7"/>
      <c r="Q6" s="7"/>
      <c r="R6" s="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5">
        <v>132000</v>
      </c>
      <c r="XFE6" s="5">
        <v>80000</v>
      </c>
      <c r="XFF6" s="5">
        <v>52000</v>
      </c>
    </row>
    <row r="7" s="5" customHeight="1">
      <c r="A7" s="2" t="inlineStr">
        <is>
          <t>C006</t>
        </is>
      </c>
      <c r="B7" s="2" t="inlineStr">
        <is>
          <t>东南电子</t>
        </is>
      </c>
      <c r="C7" s="2" t="inlineStr">
        <is>
          <t>东部</t>
        </is>
      </c>
      <c r="D7" s="2" t="inlineStr">
        <is>
          <t>杭州市余杭区文一西路969号</t>
        </is>
      </c>
      <c r="E7" t="inlineStr">
        <is>
          <t/>
        </is>
      </c>
      <c r="F7" t="inlineStr">
        <is>
          <t>杭州</t>
        </is>
      </c>
      <c r="G7" s="2">
        <v>0</v>
      </c>
      <c r="H7">
        <v>0</v>
      </c>
      <c r="I7">
        <v>0</v>
      </c>
      <c r="K7" s="2"/>
      <c r="L7" s="2"/>
      <c r="M7" s="7"/>
      <c r="N7" s="7"/>
      <c r="O7" s="7"/>
      <c r="P7" s="7"/>
      <c r="Q7" s="7"/>
      <c r="R7" s="7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5">
        <v>0</v>
      </c>
      <c r="XFE7" s="5">
        <v>0</v>
      </c>
      <c r="XFF7" s="5">
        <v>0</v>
      </c>
    </row>
    <row r="8" s="5" customHeight="1">
      <c r="A8" s="2" t="inlineStr">
        <is>
          <t>C007</t>
        </is>
      </c>
      <c r="B8" s="2" t="inlineStr">
        <is>
          <t>东方电子</t>
        </is>
      </c>
      <c r="C8" s="2" t="inlineStr">
        <is>
          <t>东部</t>
        </is>
      </c>
      <c r="D8" s="2" t="inlineStr">
        <is>
          <t>苏州市工业园区星湖街328号</t>
        </is>
      </c>
      <c r="E8" t="inlineStr">
        <is>
          <t/>
        </is>
      </c>
      <c r="F8" t="inlineStr">
        <is>
          <t>苏州</t>
        </is>
      </c>
      <c r="G8" s="2">
        <v>0</v>
      </c>
      <c r="H8">
        <v>0</v>
      </c>
      <c r="I8">
        <v>0</v>
      </c>
      <c r="K8" s="2"/>
      <c r="L8" s="2"/>
      <c r="M8" s="7"/>
      <c r="N8" s="7"/>
      <c r="O8" s="7"/>
      <c r="P8" s="7"/>
      <c r="Q8" s="7"/>
      <c r="R8" s="7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5">
        <v>0</v>
      </c>
      <c r="XFE8" s="5">
        <v>0</v>
      </c>
      <c r="XFF8" s="5">
        <v>0</v>
      </c>
    </row>
    <row r="9" s="5" customHeight="1">
      <c r="A9" s="2" t="inlineStr">
        <is>
          <t>C008</t>
        </is>
      </c>
      <c r="B9" s="2" t="inlineStr">
        <is>
          <t>西南机械</t>
        </is>
      </c>
      <c r="C9" s="2" t="inlineStr">
        <is>
          <t>西部</t>
        </is>
      </c>
      <c r="D9" s="2" t="inlineStr">
        <is>
          <t>重庆市渝北区黄山大道中段6号</t>
        </is>
      </c>
      <c r="E9" t="inlineStr">
        <is>
          <t>重庆</t>
        </is>
      </c>
      <c r="F9" t="inlineStr">
        <is>
          <t>重庆</t>
        </is>
      </c>
      <c r="G9" s="2">
        <v>0</v>
      </c>
      <c r="H9">
        <v>0</v>
      </c>
      <c r="I9">
        <v>0</v>
      </c>
      <c r="K9" s="2"/>
      <c r="L9" s="2"/>
      <c r="M9" s="7"/>
      <c r="N9" s="7"/>
      <c r="O9" s="7"/>
      <c r="P9" s="7"/>
      <c r="Q9" s="7"/>
      <c r="R9" s="7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5">
        <v>0</v>
      </c>
      <c r="XFE9" s="5">
        <v>0</v>
      </c>
      <c r="XFF9" s="5">
        <v>0</v>
      </c>
    </row>
    <row r="10" s="5" customHeight="1">
      <c r="A10" s="2" t="inlineStr">
        <is>
          <t>C009</t>
        </is>
      </c>
      <c r="B10" s="2" t="inlineStr">
        <is>
          <t>中原化工</t>
        </is>
      </c>
      <c r="C10" s="2" t="inlineStr">
        <is>
          <t>中部</t>
        </is>
      </c>
      <c r="D10" s="2" t="inlineStr">
        <is>
          <t>郑州市金水区花园路85号</t>
        </is>
      </c>
      <c r="E10" t="inlineStr">
        <is>
          <t/>
        </is>
      </c>
      <c r="F10" t="inlineStr">
        <is>
          <t>郑州</t>
        </is>
      </c>
      <c r="G10" s="2">
        <v>0</v>
      </c>
      <c r="H10">
        <v>0</v>
      </c>
      <c r="I10">
        <v>0</v>
      </c>
      <c r="K10" s="2"/>
      <c r="L10" s="2"/>
      <c r="M10" s="7"/>
      <c r="N10" s="7"/>
      <c r="O10" s="7"/>
      <c r="P10" s="7"/>
      <c r="Q10" s="7"/>
      <c r="R10" s="7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5">
        <v>0</v>
      </c>
      <c r="XFE10" s="5">
        <v>0</v>
      </c>
      <c r="XFF10" s="5">
        <v>0</v>
      </c>
    </row>
    <row r="11" s="5" customHeight="1">
      <c r="A11" s="2" t="inlineStr">
        <is>
          <t>C010</t>
        </is>
      </c>
      <c r="B11" s="2" t="inlineStr">
        <is>
          <t>东北钢铁</t>
        </is>
      </c>
      <c r="C11" s="2" t="inlineStr">
        <is>
          <t>北部</t>
        </is>
      </c>
      <c r="D11" s="2" t="inlineStr">
        <is>
          <t>沈阳市和平区南京北街78号</t>
        </is>
      </c>
      <c r="E11" t="inlineStr">
        <is>
          <t/>
        </is>
      </c>
      <c r="F11" t="inlineStr">
        <is>
          <t>沈阳</t>
        </is>
      </c>
      <c r="G11" s="2">
        <v>0</v>
      </c>
      <c r="H11">
        <v>0</v>
      </c>
      <c r="I11">
        <v>0</v>
      </c>
      <c r="K11" s="2"/>
      <c r="L11" s="2"/>
      <c r="M11" s="7"/>
      <c r="N11" s="7"/>
      <c r="O11" s="7"/>
      <c r="P11" s="7"/>
      <c r="Q11" s="7"/>
      <c r="R11" s="7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5">
        <v>0</v>
      </c>
      <c r="XFE11" s="5">
        <v>0</v>
      </c>
      <c r="XFF11" s="5">
        <v>0</v>
      </c>
    </row>
    <row r="12" s="5" customHeight="1">
      <c r="A12" s="2" t="inlineStr">
        <is>
          <t>C011</t>
        </is>
      </c>
      <c r="B12" s="2" t="inlineStr">
        <is>
          <t>华南制药</t>
        </is>
      </c>
      <c r="C12" s="2" t="inlineStr">
        <is>
          <t>南部</t>
        </is>
      </c>
      <c r="D12" s="2" t="inlineStr">
        <is>
          <t>深圳市南山区科技园南区科苑路15号</t>
        </is>
      </c>
      <c r="E12" t="inlineStr">
        <is>
          <t/>
        </is>
      </c>
      <c r="F12" t="inlineStr">
        <is>
          <t>深圳</t>
        </is>
      </c>
      <c r="G12" s="2">
        <v>0</v>
      </c>
      <c r="H12">
        <v>0</v>
      </c>
      <c r="I12">
        <v>0</v>
      </c>
      <c r="K12" s="2"/>
      <c r="L12" s="2"/>
      <c r="M12" s="7"/>
      <c r="N12" s="7"/>
      <c r="O12" s="7"/>
      <c r="P12" s="7"/>
      <c r="Q12" s="7"/>
      <c r="R12" s="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5">
        <v>0</v>
      </c>
      <c r="XFE12" s="5">
        <v>0</v>
      </c>
      <c r="XFF12" s="5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E15" sqref="$A1:$XFD1048576"/>
    </sheetView>
  </sheetViews>
  <cols>
    <col min="1" max="2" width="6.75" customWidth="1"/>
    <col min="3" max="3" width="11.25" customWidth="1"/>
    <col min="4" max="4" width="8.83333333333333" customWidth="1"/>
    <col min="5" max="5" width="12.3333333333333" customWidth="1"/>
    <col min="6" max="6" width="8.83333333333333" customWidth="1"/>
  </cols>
  <sheetData>
    <row r="1">
      <c r="A1" s="1" t="inlineStr">
        <is>
          <t>合同ID</t>
        </is>
      </c>
      <c r="B1" s="1" t="inlineStr">
        <is>
          <t>客户ID</t>
        </is>
      </c>
      <c r="C1" s="1" t="inlineStr">
        <is>
          <t>签订日期</t>
        </is>
      </c>
      <c r="D1" s="4" t="inlineStr">
        <is>
          <t>合同金额</t>
        </is>
      </c>
      <c r="E1" s="4" t="inlineStr">
        <is>
          <t>交货日期</t>
        </is>
      </c>
      <c r="F1" s="4" t="inlineStr">
        <is>
          <t>订单状态</t>
        </is>
      </c>
      <c r="G1" s="4" t="inlineStr">
        <is>
          <t>姓名</t>
        </is>
      </c>
      <c r="H1" t="inlineStr">
        <is>
          <t>客户名称</t>
        </is>
      </c>
    </row>
    <row r="2">
      <c r="A2" s="2" t="inlineStr">
        <is>
          <t>SO001</t>
        </is>
      </c>
      <c r="B2" s="2" t="inlineStr">
        <is>
          <t>C001</t>
        </is>
      </c>
      <c r="C2" s="3">
        <v>45000</v>
      </c>
      <c r="D2" s="2">
        <v>150000</v>
      </c>
      <c r="E2" s="3">
        <v>45026</v>
      </c>
      <c r="F2" s="2" t="inlineStr">
        <is>
          <t>已完成</t>
        </is>
      </c>
      <c r="G2" s="2" t="inlineStr">
        <is>
          <t>张经理</t>
        </is>
      </c>
      <c r="H2" t="inlineStr">
        <is>
          <t>华东科技</t>
        </is>
      </c>
    </row>
    <row r="3">
      <c r="A3" s="2" t="inlineStr">
        <is>
          <t>SO002</t>
        </is>
      </c>
      <c r="B3" s="2" t="inlineStr">
        <is>
          <t>C002</t>
        </is>
      </c>
      <c r="C3" s="3">
        <v>45017</v>
      </c>
      <c r="D3" s="2">
        <v>89000</v>
      </c>
      <c r="E3" s="3">
        <v>45036</v>
      </c>
      <c r="F3" s="2" t="inlineStr">
        <is>
          <t>已完成</t>
        </is>
      </c>
      <c r="G3" s="2" t="inlineStr">
        <is>
          <t>李经理</t>
        </is>
      </c>
      <c r="H3" t="inlineStr">
        <is>
          <t>北方贸易</t>
        </is>
      </c>
    </row>
    <row r="4" ht="82.5" customHeight="1">
      <c r="A4" s="2" t="inlineStr">
        <is>
          <t>SO003</t>
        </is>
      </c>
      <c r="B4" s="2" t="inlineStr">
        <is>
          <t>C003</t>
        </is>
      </c>
      <c r="C4" s="3">
        <v>45056</v>
      </c>
      <c r="D4" s="2">
        <v>215000</v>
      </c>
      <c r="E4" s="3">
        <v>45078</v>
      </c>
      <c r="F4" s="2" t="inlineStr">
        <is>
          <t>执行中</t>
        </is>
      </c>
      <c r="G4" s="2" t="inlineStr">
        <is>
          <t>王经理</t>
        </is>
      </c>
      <c r="H4" t="inlineStr">
        <is>
          <t>华南制造</t>
        </is>
      </c>
    </row>
    <row r="5">
      <c r="A5" s="2" t="inlineStr">
        <is>
          <t>SO004</t>
        </is>
      </c>
      <c r="B5" s="2" t="inlineStr">
        <is>
          <t>C004</t>
        </is>
      </c>
      <c r="C5" s="3">
        <v>45068</v>
      </c>
      <c r="D5" s="2">
        <v>75000</v>
      </c>
      <c r="E5" s="3">
        <v>45092</v>
      </c>
      <c r="F5" s="2" t="inlineStr">
        <is>
          <t>待发货</t>
        </is>
      </c>
      <c r="G5" s="2" t="inlineStr">
        <is>
          <t>钱经理</t>
        </is>
      </c>
      <c r="H5" t="inlineStr">
        <is>
          <t>西部资源</t>
        </is>
      </c>
    </row>
    <row r="6">
      <c r="A6" s="2" t="inlineStr">
        <is>
          <t>SO005</t>
        </is>
      </c>
      <c r="B6" s="2" t="inlineStr">
        <is>
          <t>C005</t>
        </is>
      </c>
      <c r="C6" s="3">
        <v>45082</v>
      </c>
      <c r="D6" s="2">
        <v>132000</v>
      </c>
      <c r="E6" s="3">
        <v>45107</v>
      </c>
      <c r="F6" s="2" t="inlineStr">
        <is>
          <t>执行中</t>
        </is>
      </c>
      <c r="G6" s="2" t="inlineStr">
        <is>
          <t>赵经理</t>
        </is>
      </c>
      <c r="H6" t="inlineStr">
        <is>
          <t>中部物流</t>
        </is>
      </c>
    </row>
    <row r="7">
      <c r="A7" s="2" t="inlineStr">
        <is>
          <t>SO006</t>
        </is>
      </c>
      <c r="B7" s="2" t="inlineStr">
        <is>
          <t>C001</t>
        </is>
      </c>
      <c r="C7" s="3">
        <v>45095</v>
      </c>
      <c r="D7" s="2">
        <v>92000</v>
      </c>
      <c r="E7" s="3">
        <v>45117</v>
      </c>
      <c r="F7" s="2" t="inlineStr">
        <is>
          <t>新订单</t>
        </is>
      </c>
      <c r="G7" s="2" t="inlineStr">
        <is>
          <t>张经理</t>
        </is>
      </c>
      <c r="H7" t="inlineStr">
        <is>
          <t>华东科技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G13" sqref="G13"/>
    </sheetView>
  </sheetViews>
  <cols>
    <col min="1" max="1" width="8.83333333333333" customWidth="1"/>
    <col min="2" max="2" width="10.8333333333333" customWidth="1"/>
    <col min="3" max="3" width="11.1666666666667" customWidth="1"/>
    <col min="4" max="4" width="8.83333333333333" customWidth="1"/>
    <col min="5" max="5" width="18.4166666666667" customWidth="1"/>
    <col min="6" max="6" width="8.83333333333333" customWidth="1"/>
  </cols>
  <sheetData>
    <row r="1">
      <c r="A1" s="1" t="inlineStr">
        <is>
          <t>收款单号</t>
        </is>
      </c>
      <c r="B1" s="1" t="inlineStr">
        <is>
          <t>合同ID</t>
        </is>
      </c>
      <c r="C1" s="1" t="inlineStr">
        <is>
          <t>收款日期</t>
        </is>
      </c>
      <c r="D1" s="1" t="inlineStr">
        <is>
          <t>收款金额</t>
        </is>
      </c>
      <c r="E1" s="1" t="inlineStr">
        <is>
          <t>付款账号</t>
        </is>
      </c>
      <c r="F1" s="1" t="inlineStr">
        <is>
          <t>收款方式</t>
        </is>
      </c>
    </row>
    <row r="2">
      <c r="A2" s="2" t="inlineStr">
        <is>
          <t>PM001</t>
        </is>
      </c>
      <c r="B2" s="2" t="inlineStr">
        <is>
          <t>SO001</t>
        </is>
      </c>
      <c r="C2" s="3">
        <v>45005</v>
      </c>
      <c r="D2" s="2">
        <v>50000</v>
      </c>
      <c r="E2" s="2" t="inlineStr">
        <is>
          <t>622588******1234</t>
        </is>
      </c>
      <c r="F2" s="2" t="inlineStr">
        <is>
          <t>银行转账</t>
        </is>
      </c>
    </row>
    <row r="3">
      <c r="A3" s="2" t="inlineStr">
        <is>
          <t>PM002</t>
        </is>
      </c>
      <c r="B3" s="2" t="inlineStr">
        <is>
          <t>SO002</t>
        </is>
      </c>
      <c r="C3" s="3">
        <v>45021</v>
      </c>
      <c r="D3" s="2">
        <v>89000</v>
      </c>
      <c r="E3" s="2" t="inlineStr">
        <is>
          <t>622848******5678</t>
        </is>
      </c>
      <c r="F3" s="2" t="inlineStr">
        <is>
          <t>电汇</t>
        </is>
      </c>
    </row>
    <row r="4" ht="85.9" customHeight="1">
      <c r="A4" s="2" t="inlineStr">
        <is>
          <t>PM003</t>
        </is>
      </c>
      <c r="B4" s="2" t="inlineStr">
        <is>
          <t>SO001</t>
        </is>
      </c>
      <c r="C4" s="3">
        <v>45031</v>
      </c>
      <c r="D4" s="2">
        <v>100000</v>
      </c>
      <c r="E4" s="2" t="inlineStr">
        <is>
          <t>622588******1234</t>
        </is>
      </c>
      <c r="F4" s="2" t="inlineStr">
        <is>
          <t>银行转账</t>
        </is>
      </c>
    </row>
    <row r="5">
      <c r="A5" s="2" t="inlineStr">
        <is>
          <t>PM004</t>
        </is>
      </c>
      <c r="B5" s="2" t="inlineStr">
        <is>
          <t>SO003</t>
        </is>
      </c>
      <c r="C5" s="3">
        <v>45061</v>
      </c>
      <c r="D5" s="2">
        <v>100000</v>
      </c>
      <c r="E5" s="2" t="inlineStr">
        <is>
          <t>955998******3344</t>
        </is>
      </c>
      <c r="F5" s="2" t="inlineStr">
        <is>
          <t>信用证</t>
        </is>
      </c>
    </row>
    <row r="6">
      <c r="A6" s="2" t="inlineStr">
        <is>
          <t>PM005</t>
        </is>
      </c>
      <c r="B6" s="2" t="inlineStr">
        <is>
          <t>SO005</t>
        </is>
      </c>
      <c r="C6" s="3">
        <v>45087</v>
      </c>
      <c r="D6" s="2">
        <v>80000</v>
      </c>
      <c r="E6" s="2" t="inlineStr">
        <is>
          <t>622262******7890</t>
        </is>
      </c>
      <c r="F6" s="2" t="inlineStr">
        <is>
          <t>银行转账</t>
        </is>
      </c>
    </row>
    <row r="7">
      <c r="A7" s="2" t="inlineStr">
        <is>
          <t>PM006</t>
        </is>
      </c>
      <c r="B7" s="2" t="inlineStr">
        <is>
          <t>SO003</t>
        </is>
      </c>
      <c r="C7" s="3">
        <v>45097</v>
      </c>
      <c r="D7" s="2">
        <v>115000</v>
      </c>
      <c r="E7" s="2" t="inlineStr">
        <is>
          <t>955998******3344</t>
        </is>
      </c>
      <c r="F7" s="2" t="inlineStr">
        <is>
          <t>信用证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Data>
    <row r="1">
      <c r="A1" t="inlineStr">
        <is>
          <t>月度统计数据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月份</t>
        </is>
      </c>
      <c r="B2" t="inlineStr">
        <is>
          <t>合同金额</t>
        </is>
      </c>
      <c r="C2" t="inlineStr">
        <is>
          <t>收款金额</t>
        </is>
      </c>
    </row>
    <row r="3">
      <c r="A3" t="inlineStr">
        <is>
          <t>2月</t>
        </is>
      </c>
      <c r="B3">
        <v>150000</v>
      </c>
      <c r="C3">
        <v>50000</v>
      </c>
    </row>
    <row r="4">
      <c r="A4" t="inlineStr">
        <is>
          <t>3月</t>
        </is>
      </c>
      <c r="B4">
        <v>89000</v>
      </c>
      <c r="C4">
        <v>189000</v>
      </c>
    </row>
    <row r="5">
      <c r="A5" t="inlineStr">
        <is>
          <t>4月</t>
        </is>
      </c>
      <c r="B5">
        <v>290000</v>
      </c>
      <c r="C5">
        <v>100000</v>
      </c>
    </row>
    <row r="6">
      <c r="A6" t="inlineStr">
        <is>
          <t>5月</t>
        </is>
      </c>
      <c r="B6">
        <v>224000</v>
      </c>
      <c r="C6">
        <v>195000</v>
      </c>
    </row>
    <row r="10">
      <c r="A10" t="inlineStr">
        <is>
          <t>按销售区域合同金额统计</t>
        </is>
      </c>
      <c r="B10" t="inlineStr">
        <is>
          <t/>
        </is>
      </c>
    </row>
    <row r="11">
      <c r="A11" t="inlineStr">
        <is>
          <t>销售区域</t>
        </is>
      </c>
      <c r="B11" t="inlineStr">
        <is>
          <t>合同金额</t>
        </is>
      </c>
    </row>
    <row r="12">
      <c r="A12" t="inlineStr">
        <is>
          <t>东部</t>
        </is>
      </c>
      <c r="B12">
        <v>242000</v>
      </c>
    </row>
    <row r="13">
      <c r="A13" t="inlineStr">
        <is>
          <t>北部</t>
        </is>
      </c>
      <c r="B13">
        <v>89000</v>
      </c>
    </row>
    <row r="14">
      <c r="A14" t="inlineStr">
        <is>
          <t>南部</t>
        </is>
      </c>
      <c r="B14">
        <v>215000</v>
      </c>
    </row>
    <row r="15">
      <c r="A15" t="inlineStr">
        <is>
          <t>西部</t>
        </is>
      </c>
      <c r="B15">
        <v>75000</v>
      </c>
    </row>
    <row r="16">
      <c r="A16" t="inlineStr">
        <is>
          <t>中部</t>
        </is>
      </c>
      <c r="B16">
        <v>132000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示例</vt:lpstr>
      <vt:lpstr>员工</vt:lpstr>
      <vt:lpstr>客户</vt:lpstr>
      <vt:lpstr>销售订单</vt:lpstr>
      <vt:lpstr>收款单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Qian</dc:creator>
  <cp:lastModifiedBy>halve</cp:lastModifiedBy>
  <dcterms:created xsi:type="dcterms:W3CDTF">2025-04-10T16:58:00Z</dcterms:created>
  <dcterms:modified xsi:type="dcterms:W3CDTF">2026-08-25T08:34:45Z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8723FBE3F2464C6E9D6583CA051B4DA6_13</vt:lpwstr>
  </property>
  <property fmtid="{D5CDD505-2E9C-101B-9397-08002B2CF9AE}" pid="3" name="KSOProductBuildVer">
    <vt:lpwstr>2052-11.8.2.10393</vt:lpwstr>
  </property>
</Properties>
</file>