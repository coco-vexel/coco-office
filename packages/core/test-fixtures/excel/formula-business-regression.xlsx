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订单" sheetId="1" r:id="rId1"/>
    <sheet name="收款单" sheetId="2" r:id="rId2"/>
    <sheet name="员工" sheetId="3" r:id="rId3"/>
  </sheets>
</workbook>
</file>

<file path=xl/styles.xml><?xml version="1.0" encoding="utf-8"?>
<styleSheet xmlns="http://schemas.openxmlformats.org/spreadsheetml/2006/main">
  <fonts count="1"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/>
</file>

<file path=xl/worksheets/_rels/sheet2.xml.rels><Relationships xmlns="http://schemas.openxmlformats.org/package/2006/relationships"/>
</file>

<file path=xl/worksheets/_rels/sheet3.xml.rels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dimension ref="A1:L8"/>
  <sheetData>
    <row r="1">
      <c r="A1" t="inlineStr">
        <is>
          <t>合同ID</t>
        </is>
      </c>
      <c r="C1" t="inlineStr">
        <is>
          <t>客户ID</t>
        </is>
      </c>
      <c r="D1" t="inlineStr">
        <is>
          <t>合同金额</t>
        </is>
      </c>
      <c r="G1" t="inlineStr">
        <is>
          <t>姓名</t>
        </is>
      </c>
    </row>
    <row r="2">
      <c r="A2" t="inlineStr">
        <is>
          <t>SO001</t>
        </is>
      </c>
      <c r="C2" t="inlineStr">
        <is>
          <t>C001</t>
        </is>
      </c>
      <c r="D2">
        <v>150000</v>
      </c>
      <c r="G2" t="inlineStr">
        <is>
          <t>张三</t>
        </is>
      </c>
    </row>
    <row r="3">
      <c r="A3" t="inlineStr">
        <is>
          <t>SO002</t>
        </is>
      </c>
      <c r="C3" t="inlineStr">
        <is>
          <t>C002</t>
        </is>
      </c>
      <c r="D3">
        <v>89000</v>
      </c>
      <c r="G3" t="inlineStr">
        <is>
          <t>李四</t>
        </is>
      </c>
    </row>
    <row r="4">
      <c r="A4" t="inlineStr">
        <is>
          <t>SO003</t>
        </is>
      </c>
      <c r="C4" t="inlineStr">
        <is>
          <t>C003</t>
        </is>
      </c>
      <c r="D4">
        <v>215000</v>
      </c>
      <c r="G4" t="inlineStr">
        <is>
          <t>王五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Data>
    <row r="1">
      <c r="A1" t="inlineStr">
        <is>
          <t>收款ID</t>
        </is>
      </c>
      <c r="B1" t="inlineStr">
        <is>
          <t>合同ID</t>
        </is>
      </c>
      <c r="D1" t="inlineStr">
        <is>
          <t>收款金额</t>
        </is>
      </c>
    </row>
    <row r="2">
      <c r="A2" t="inlineStr">
        <is>
          <t>R001</t>
        </is>
      </c>
      <c r="B2" t="inlineStr">
        <is>
          <t>SO001</t>
        </is>
      </c>
      <c r="D2">
        <v>150000</v>
      </c>
    </row>
    <row r="3">
      <c r="A3" t="inlineStr">
        <is>
          <t>R002</t>
        </is>
      </c>
      <c r="B3" t="inlineStr">
        <is>
          <t>SO002</t>
        </is>
      </c>
      <c r="D3">
        <v>30000</v>
      </c>
    </row>
    <row r="4">
      <c r="A4" t="inlineStr">
        <is>
          <t>R003</t>
        </is>
      </c>
      <c r="B4" t="inlineStr">
        <is>
          <t>SO003</t>
        </is>
      </c>
      <c r="D4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Data>
    <row r="1">
      <c r="A1" t="inlineStr">
        <is>
          <t>员工ID</t>
        </is>
      </c>
      <c r="C1" t="inlineStr">
        <is>
          <t>姓名</t>
        </is>
      </c>
      <c r="G1" t="inlineStr">
        <is>
          <t>生日</t>
        </is>
      </c>
      <c r="H1" t="inlineStr">
        <is>
          <t>年龄</t>
        </is>
      </c>
      <c r="K1" t="inlineStr">
        <is>
          <t>销售额</t>
        </is>
      </c>
      <c r="L1" t="inlineStr">
        <is>
          <t>提成</t>
        </is>
      </c>
    </row>
    <row r="2">
      <c r="A2" t="inlineStr">
        <is>
          <t>E001</t>
        </is>
      </c>
      <c r="C2" t="inlineStr">
        <is>
          <t>张三</t>
        </is>
      </c>
      <c r="G2">
        <v>32874</v>
      </c>
      <c r="H2">
        <f>DATEDIF(G2,TODAY(),"Y")</f>
      </c>
      <c r="K2">
        <f>SUMPRODUCT(('销售订单'!G$2:G$4=C2)*('销售订单'!D$2:D$4))</f>
      </c>
      <c r="L2">
        <f>IF(K2&lt;=100000,K2*0.05,IF(K2&lt;=300000,K2*0.08,K2*0.12))</f>
      </c>
    </row>
    <row r="3">
      <c r="A3" t="inlineStr">
        <is>
          <t>E002</t>
        </is>
      </c>
      <c r="C3" t="inlineStr">
        <is>
          <t>李四</t>
        </is>
      </c>
      <c r="G3">
        <v>35600</v>
      </c>
      <c r="H3">
        <f>DATEDIF(G3,TODAY(),"Y")</f>
      </c>
      <c r="K3">
        <f>SUMPRODUCT(('销售订单'!G$2:G$4=C3)*('销售订单'!D$2:D$4))</f>
      </c>
      <c r="L3">
        <f>IF(K3&lt;=100000,K3*0.05,IF(K3&lt;=300000,K3*0.08,K3*0.12))</f>
      </c>
    </row>
    <row r="4">
      <c r="A4" t="inlineStr">
        <is>
          <t>E003</t>
        </is>
      </c>
      <c r="C4" t="inlineStr">
        <is>
          <t>王五</t>
        </is>
      </c>
      <c r="G4">
        <v>36526</v>
      </c>
      <c r="H4">
        <f>DATEDIF(G4,TODAY(),"Y")</f>
      </c>
      <c r="K4">
        <f>SUMPRODUCT(('销售订单'!G$2:G$4=C4)*('销售订单'!D$2:D$4))</f>
      </c>
      <c r="L4">
        <f>IF(K4&lt;=100000,K4*0.05,IF(K4&lt;=300000,K4*0.08,K4*0.12))</f>
      </c>
    </row>
  </sheetData>
</worksheet>
</file>